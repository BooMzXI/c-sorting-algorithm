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280E8795-C449-4911-9272-6FED896CBA1D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1" l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O23" i="1"/>
  <c r="C23" i="1"/>
  <c r="O13" i="1"/>
  <c r="C13" i="1"/>
  <c r="C3" i="1"/>
  <c r="O3" i="1"/>
  <c r="H41" i="3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O23" i="3"/>
  <c r="C23" i="3"/>
  <c r="O13" i="3"/>
  <c r="C13" i="3"/>
  <c r="O3" i="3"/>
  <c r="C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O23" i="2"/>
  <c r="C23" i="2"/>
  <c r="O13" i="2"/>
  <c r="C13" i="2"/>
  <c r="O3" i="2"/>
  <c r="C3" i="2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<sst xmlns="http://schemas.openxmlformats.org/spreadsheetml/2006/main" count="384" uniqueCount="28">
  <si>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</si>
  <si>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</si>
  <si>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</si>
  <si>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</si>
  <si>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</si>
  <si>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</si>
  <si>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</si>
  <si>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</si>
  <si>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</si>
  <si>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</si>
  <si>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</si>
  <si>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</si>
  <si>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</si>
  <si>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</si>
  <si>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</si>
  <si>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</si>
  <si>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</si>
  <si>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</si>
  <si>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</si>
  <si>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</si>
  <si>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</si>
  <si>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</si>
  <si>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</si>
  <si>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</si>
  <si>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</si>
  <si>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t>O(N)</t>
  </si>
  <si>
    <t>O(NlogN)</t>
  </si>
  <si>
    <t>O(N2)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</si>
</sst>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5" Type="http://schemas.openxmlformats.org/officeDocument/2006/relationships/worksheet" Target="work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8</xdr:col>
      <xdr:colOff>279785</xdr:colOff>
      <xdr:row>75</xdr:row>
      <xdr:rowOff>24571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16</xdr:col>
      <xdr:colOff>372028</xdr:colOff>
      <xdr:row>75</xdr:row>
      <xdr:rowOff>96761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25</xdr:col>
      <xdr:colOff>424165</xdr:colOff>
      <xdr:row>75</xdr:row>
      <xdr:rowOff>108793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8</xdr:col>
      <xdr:colOff>311869</xdr:colOff>
      <xdr:row>106</xdr:row>
      <xdr:rowOff>176971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657839</xdr:colOff>
      <xdr:row>77</xdr:row>
      <xdr:rowOff>66187</xdr:rowOff>
    </xdr:from>
    <xdr:to>
      <xdr:col>16</xdr:col>
      <xdr:colOff>404112</xdr:colOff>
      <xdr:row>107</xdr:row>
      <xdr:rowOff>68687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25</xdr:col>
      <xdr:colOff>456249</xdr:colOff>
      <xdr:row>107</xdr:row>
      <xdr:rowOff>80719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514431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16</xdr:col>
      <xdr:colOff>46060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25</xdr:col>
      <xdr:colOff>465590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546515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16</xdr:col>
      <xdr:colOff>78144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611176</xdr:colOff>
      <xdr:row>76</xdr:row>
      <xdr:rowOff>143234</xdr:rowOff>
    </xdr:from>
    <xdr:to>
      <xdr:col>25</xdr:col>
      <xdr:colOff>497674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231402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15</xdr:col>
      <xdr:colOff>252888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734930</xdr:colOff>
      <xdr:row>45</xdr:row>
      <xdr:rowOff>84222</xdr:rowOff>
    </xdr:from>
    <xdr:to>
      <xdr:col>24</xdr:col>
      <xdr:colOff>520018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263486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15</xdr:col>
      <xdr:colOff>284972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24</xdr:col>
      <xdr:colOff>552102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abSelected="1" zoomScale="52" zoomScaleNormal="40" workbookViewId="0">
      <selection activeCell="B4" sqref="B4:X41"/>
    </sheetView>
  </sheetViews>
  <sheetFormatPr defaultRowHeight="13.8" x14ac:dyDescent="0.25"/>
  <cols>
    <col min="1" max="1" width="8.796875" style="1"/>
    <col min="2" max="2" width="23.3984375" style="1" bestFit="1" customWidth="1"/>
    <col min="3" max="7" width="9" style="1" bestFit="1" customWidth="1"/>
    <col min="8" max="8" width="10.09765625" style="1" bestFit="1" customWidth="1"/>
    <col min="9" max="13" width="8.8984375" style="1" bestFit="1" customWidth="1"/>
    <col min="14" max="14" width="23.3984375" style="1" bestFit="1" customWidth="1"/>
    <col min="15" max="15" width="10.09765625" style="1" bestFit="1" customWidth="1"/>
    <col min="16" max="16" width="10.5" style="1" bestFit="1" customWidth="1"/>
    <col min="17" max="17" width="11.5" style="1" bestFit="1" customWidth="1"/>
    <col min="18" max="24" width="10.09765625" style="1" bestFit="1" customWidth="1"/>
    <col min="25" max="16384" width="8.796875" style="1"/>
  </cols>
  <sheetData>
    <row r="1" spans="1:24" x14ac:dyDescent="0.25">
      <c r="A1" s="16" t="s">
        <v>0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5.7999999999999996E-3</v>
      </c>
      <c r="D6" s="7">
        <v>5.1000000000000004E-3</v>
      </c>
      <c r="E6" s="7">
        <v>4.7999999999999996E-3</v>
      </c>
      <c r="F6" s="7">
        <v>4.7000000000000002E-3</v>
      </c>
      <c r="G6" s="7">
        <v>4.7000000000000002E-3</v>
      </c>
      <c r="H6" s="7">
        <v>4.7000000000000002E-3</v>
      </c>
      <c r="I6" s="7">
        <v>4.7999999999999996E-3</v>
      </c>
      <c r="J6" s="7">
        <v>4.7999999999999996E-3</v>
      </c>
      <c r="K6" s="7">
        <v>4.7999999999999996E-3</v>
      </c>
      <c r="L6" s="7">
        <v>4.7999999999999996E-3</v>
      </c>
      <c r="N6" s="2" t="s">
        <v>16</v>
      </c>
      <c r="O6" s="7">
        <v>0.13900000000000001</v>
      </c>
      <c r="P6" s="7">
        <v>0.1386</v>
      </c>
      <c r="Q6" s="7">
        <v>0.13800000000000001</v>
      </c>
      <c r="R6" s="7">
        <v>0.1641</v>
      </c>
      <c r="S6" s="7">
        <v>0.1401</v>
      </c>
      <c r="T6" s="7">
        <v>0.1396</v>
      </c>
      <c r="U6" s="7">
        <v>0.1439</v>
      </c>
      <c r="V6" s="7">
        <v>0.13850000000000001</v>
      </c>
      <c r="W6" s="7">
        <v>0.13880000000000001</v>
      </c>
      <c r="X6" s="7">
        <v>0.13880000000000001</v>
      </c>
    </row>
    <row r="7" spans="1:24" x14ac:dyDescent="0.25">
      <c r="B7" s="2" t="s">
        <v>17</v>
      </c>
      <c r="C7" s="7">
        <v>1.0800000000000001E-2</v>
      </c>
      <c r="D7" s="7">
        <v>0.01</v>
      </c>
      <c r="E7" s="7">
        <v>7.6E-3</v>
      </c>
      <c r="F7" s="7">
        <v>7.0000000000000001E-3</v>
      </c>
      <c r="G7" s="7">
        <v>7.0000000000000001E-3</v>
      </c>
      <c r="H7" s="7">
        <v>7.0000000000000001E-3</v>
      </c>
      <c r="I7" s="7">
        <v>7.0000000000000001E-3</v>
      </c>
      <c r="J7" s="7">
        <v>7.0000000000000001E-3</v>
      </c>
      <c r="K7" s="7">
        <v>7.0000000000000001E-3</v>
      </c>
      <c r="L7" s="7">
        <v>7.0000000000000001E-3</v>
      </c>
      <c r="N7" s="2" t="s">
        <v>17</v>
      </c>
      <c r="O7" s="7">
        <v>0.19370000000000001</v>
      </c>
      <c r="P7" s="7">
        <v>0.18729999999999999</v>
      </c>
      <c r="Q7" s="7">
        <v>0.15390000000000001</v>
      </c>
      <c r="R7" s="7">
        <v>0.1217</v>
      </c>
      <c r="S7" s="7">
        <v>0.1207</v>
      </c>
      <c r="T7" s="7">
        <v>0.12</v>
      </c>
      <c r="U7" s="7">
        <v>0.1198</v>
      </c>
      <c r="V7" s="7">
        <v>0.1197</v>
      </c>
      <c r="W7" s="7">
        <v>0.1195</v>
      </c>
      <c r="X7" s="7">
        <v>0.1278</v>
      </c>
    </row>
    <row r="8" spans="1:24" x14ac:dyDescent="0.25">
      <c r="B8" s="2" t="s">
        <v>18</v>
      </c>
      <c r="C8" s="7">
        <v>1.6400000000000001E-2</v>
      </c>
      <c r="D8" s="7">
        <v>1.4200000000000001E-2</v>
      </c>
      <c r="E8" s="7">
        <v>1.2800000000000001E-2</v>
      </c>
      <c r="F8" s="7">
        <v>1.23E-2</v>
      </c>
      <c r="G8" s="7">
        <v>1.23E-2</v>
      </c>
      <c r="H8" s="7">
        <v>1.23E-2</v>
      </c>
      <c r="I8" s="7">
        <v>1.23E-2</v>
      </c>
      <c r="J8" s="7">
        <v>1.24E-2</v>
      </c>
      <c r="K8" s="7">
        <v>1.24E-2</v>
      </c>
      <c r="L8" s="7">
        <v>1.24E-2</v>
      </c>
      <c r="N8" s="2" t="s">
        <v>18</v>
      </c>
      <c r="O8" s="7">
        <v>0.24660000000000001</v>
      </c>
      <c r="P8" s="7">
        <v>0.2316</v>
      </c>
      <c r="Q8" s="7">
        <v>0.2235</v>
      </c>
      <c r="R8" s="7">
        <v>0.2198</v>
      </c>
      <c r="S8" s="7">
        <v>0.218</v>
      </c>
      <c r="T8" s="7">
        <v>0.22170000000000001</v>
      </c>
      <c r="U8" s="7">
        <v>0.21740000000000001</v>
      </c>
      <c r="V8" s="7">
        <v>0.2172</v>
      </c>
      <c r="W8" s="7">
        <v>0.24510000000000001</v>
      </c>
      <c r="X8" s="7">
        <v>0.23680000000000001</v>
      </c>
    </row>
    <row r="9" spans="1:24" x14ac:dyDescent="0.25">
      <c r="B9" s="2" t="s">
        <v>19</v>
      </c>
      <c r="C9" s="7">
        <v>7.1999999999999998E-3</v>
      </c>
      <c r="D9" s="7">
        <v>5.0000000000000001E-3</v>
      </c>
      <c r="E9" s="7">
        <v>4.4000000000000003E-3</v>
      </c>
      <c r="F9" s="7">
        <v>4.4000000000000003E-3</v>
      </c>
      <c r="G9" s="7">
        <v>4.3E-3</v>
      </c>
      <c r="H9" s="7">
        <v>4.3E-3</v>
      </c>
      <c r="I9" s="7">
        <v>4.4000000000000003E-3</v>
      </c>
      <c r="J9" s="7">
        <v>4.3E-3</v>
      </c>
      <c r="K9" s="7">
        <v>4.3E-3</v>
      </c>
      <c r="L9" s="7">
        <v>4.4000000000000003E-3</v>
      </c>
      <c r="N9" s="2" t="s">
        <v>19</v>
      </c>
      <c r="O9" s="7">
        <v>3.15E-2</v>
      </c>
      <c r="P9" s="7">
        <v>2.1700000000000001E-2</v>
      </c>
      <c r="Q9" s="7">
        <v>1.9E-2</v>
      </c>
      <c r="R9" s="7">
        <v>1.8599999999999998E-2</v>
      </c>
      <c r="S9" s="7">
        <v>1.8499999999999999E-2</v>
      </c>
      <c r="T9" s="7">
        <v>1.8499999999999999E-2</v>
      </c>
      <c r="U9" s="7">
        <v>2.6499999999999999E-2</v>
      </c>
      <c r="V9" s="7">
        <v>2.2800000000000001E-2</v>
      </c>
      <c r="W9" s="7">
        <v>2.2800000000000001E-2</v>
      </c>
      <c r="X9" s="7">
        <v>2.2800000000000001E-2</v>
      </c>
    </row>
    <row r="10" spans="1:24" x14ac:dyDescent="0.25">
      <c r="B10" s="2" t="s">
        <v>20</v>
      </c>
      <c r="C10" s="7">
        <v>4.5999999999999999E-3</v>
      </c>
      <c r="D10" s="7">
        <v>3.5999999999999999E-3</v>
      </c>
      <c r="E10" s="7">
        <v>2.3E-3</v>
      </c>
      <c r="F10" s="7">
        <v>2.2000000000000001E-3</v>
      </c>
      <c r="G10" s="7">
        <v>2.2000000000000001E-3</v>
      </c>
      <c r="H10" s="7">
        <v>2.2000000000000001E-3</v>
      </c>
      <c r="I10" s="7">
        <v>2.0999999999999999E-3</v>
      </c>
      <c r="J10" s="7">
        <v>2.0999999999999999E-3</v>
      </c>
      <c r="K10" s="7">
        <v>2.2000000000000001E-3</v>
      </c>
      <c r="L10" s="7">
        <v>2E-3</v>
      </c>
      <c r="N10" s="2" t="s">
        <v>20</v>
      </c>
      <c r="O10" s="7">
        <v>2.6599999999999999E-2</v>
      </c>
      <c r="P10" s="7">
        <v>1.84E-2</v>
      </c>
      <c r="Q10" s="7">
        <v>1.1900000000000001E-2</v>
      </c>
      <c r="R10" s="7">
        <v>1.11E-2</v>
      </c>
      <c r="S10" s="7">
        <v>1.0999999999999999E-2</v>
      </c>
      <c r="T10" s="7">
        <v>1.12E-2</v>
      </c>
      <c r="U10" s="7">
        <v>1.11E-2</v>
      </c>
      <c r="V10" s="7">
        <v>1.11E-2</v>
      </c>
      <c r="W10" s="7">
        <v>1.11E-2</v>
      </c>
      <c r="X10" s="7">
        <v>1.11E-2</v>
      </c>
    </row>
    <row r="11" spans="1:24" x14ac:dyDescent="0.25">
      <c r="B11" s="2" t="s">
        <v>21</v>
      </c>
      <c r="C11" s="8">
        <v>6.7000000000000002E-3</v>
      </c>
      <c r="D11" s="7">
        <v>5.1999999999999998E-3</v>
      </c>
      <c r="E11" s="7">
        <v>4.4999999999999997E-3</v>
      </c>
      <c r="F11" s="7">
        <v>4.4999999999999997E-3</v>
      </c>
      <c r="G11" s="7">
        <v>4.4000000000000003E-3</v>
      </c>
      <c r="H11" s="7">
        <v>4.4000000000000003E-3</v>
      </c>
      <c r="I11" s="7">
        <v>4.4000000000000003E-3</v>
      </c>
      <c r="J11" s="7">
        <v>4.4000000000000003E-3</v>
      </c>
      <c r="K11" s="7">
        <v>4.4999999999999997E-3</v>
      </c>
      <c r="L11" s="7">
        <v>4.4000000000000003E-3</v>
      </c>
      <c r="N11" s="2" t="s">
        <v>21</v>
      </c>
      <c r="O11" s="8">
        <v>3.78E-2</v>
      </c>
      <c r="P11" s="7">
        <v>2.81E-2</v>
      </c>
      <c r="Q11" s="7">
        <v>2.86E-2</v>
      </c>
      <c r="R11" s="7">
        <v>2.4799999999999999E-2</v>
      </c>
      <c r="S11" s="7">
        <v>2.2200000000000001E-2</v>
      </c>
      <c r="T11" s="7">
        <v>2.2499999999999999E-2</v>
      </c>
      <c r="U11" s="7">
        <v>2.2200000000000001E-2</v>
      </c>
      <c r="V11" s="7">
        <v>2.1999999999999999E-2</v>
      </c>
      <c r="W11" s="7">
        <v>2.2100000000000002E-2</v>
      </c>
      <c r="X11" s="7">
        <v>2.2499999999999999E-2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0.44409999999999999</v>
      </c>
      <c r="D16" s="7">
        <v>0.40960000000000002</v>
      </c>
      <c r="E16" s="7">
        <v>0.35360000000000003</v>
      </c>
      <c r="F16" s="7">
        <v>0.35349999999999998</v>
      </c>
      <c r="G16" s="7">
        <v>0.3533</v>
      </c>
      <c r="H16" s="7">
        <v>0.3533</v>
      </c>
      <c r="I16" s="7">
        <v>0.35349999999999998</v>
      </c>
      <c r="J16" s="7">
        <v>0.35949999999999999</v>
      </c>
      <c r="K16" s="7">
        <v>0.43059999999999998</v>
      </c>
      <c r="L16" s="7">
        <v>0.4365</v>
      </c>
      <c r="N16" s="2" t="s">
        <v>16</v>
      </c>
      <c r="O16" s="7">
        <v>8.9814000000000007</v>
      </c>
      <c r="P16" s="7">
        <v>9.1234999999999999</v>
      </c>
      <c r="Q16" s="7">
        <v>8.8721999999999994</v>
      </c>
      <c r="R16" s="7">
        <v>9.1684000000000001</v>
      </c>
      <c r="S16" s="7">
        <v>9.2380999999999993</v>
      </c>
      <c r="T16" s="7">
        <v>10.230399999999999</v>
      </c>
      <c r="U16" s="7">
        <v>8.9791000000000007</v>
      </c>
      <c r="V16" s="7">
        <v>9.6593999999999998</v>
      </c>
      <c r="W16" s="7">
        <v>9.1508000000000003</v>
      </c>
      <c r="X16" s="7">
        <v>8.9995999999999992</v>
      </c>
    </row>
    <row r="17" spans="2:24" x14ac:dyDescent="0.25">
      <c r="B17" s="2" t="s">
        <v>17</v>
      </c>
      <c r="C17" s="7">
        <v>0.68459999999999999</v>
      </c>
      <c r="D17" s="7">
        <v>0.66569999999999996</v>
      </c>
      <c r="E17" s="7">
        <v>0.66379999999999995</v>
      </c>
      <c r="F17" s="7">
        <v>0.67290000000000005</v>
      </c>
      <c r="G17" s="7">
        <v>0.67100000000000004</v>
      </c>
      <c r="H17" s="7">
        <v>0.66910000000000003</v>
      </c>
      <c r="I17" s="7">
        <v>0.68110000000000004</v>
      </c>
      <c r="J17" s="7">
        <v>0.67479999999999996</v>
      </c>
      <c r="K17" s="7">
        <v>0.66979999999999995</v>
      </c>
      <c r="L17" s="7">
        <v>0.6784</v>
      </c>
      <c r="N17" s="2" t="s">
        <v>17</v>
      </c>
      <c r="O17" s="7">
        <v>12.6663</v>
      </c>
      <c r="P17" s="7">
        <v>11.7286</v>
      </c>
      <c r="Q17" s="7">
        <v>11.5091</v>
      </c>
      <c r="R17" s="7">
        <v>11.269500000000001</v>
      </c>
      <c r="S17" s="7">
        <v>12.573700000000001</v>
      </c>
      <c r="T17" s="7">
        <v>11.5558</v>
      </c>
      <c r="U17" s="7">
        <v>11.430099999999999</v>
      </c>
      <c r="V17" s="7">
        <v>11.525600000000001</v>
      </c>
      <c r="W17" s="7">
        <v>11.3569</v>
      </c>
      <c r="X17" s="7">
        <v>15.586399999999999</v>
      </c>
    </row>
    <row r="18" spans="2:24" x14ac:dyDescent="0.25">
      <c r="B18" s="2" t="s">
        <v>18</v>
      </c>
      <c r="C18" s="7">
        <v>1.1940999999999999</v>
      </c>
      <c r="D18" s="7">
        <v>1.1867000000000001</v>
      </c>
      <c r="E18" s="7">
        <v>1.0601</v>
      </c>
      <c r="F18" s="7">
        <v>0.85519999999999996</v>
      </c>
      <c r="G18" s="7">
        <v>0.85740000000000005</v>
      </c>
      <c r="H18" s="7">
        <v>0.85219999999999996</v>
      </c>
      <c r="I18" s="7">
        <v>0.84930000000000005</v>
      </c>
      <c r="J18" s="7">
        <v>0.85370000000000001</v>
      </c>
      <c r="K18" s="7">
        <v>0.9244</v>
      </c>
      <c r="L18" s="7">
        <v>2.173</v>
      </c>
      <c r="N18" s="2" t="s">
        <v>18</v>
      </c>
      <c r="O18" s="7">
        <v>21.7987</v>
      </c>
      <c r="P18" s="7">
        <v>20.936</v>
      </c>
      <c r="Q18" s="7">
        <v>21.080300000000001</v>
      </c>
      <c r="R18" s="7">
        <v>22.374099999999999</v>
      </c>
      <c r="S18" s="7">
        <v>22.233599999999999</v>
      </c>
      <c r="T18" s="7">
        <v>21.0002</v>
      </c>
      <c r="U18" s="7">
        <v>22.298300000000001</v>
      </c>
      <c r="V18" s="7">
        <v>20.711200000000002</v>
      </c>
      <c r="W18" s="7">
        <v>22.537199999999999</v>
      </c>
      <c r="X18" s="7">
        <v>20.9404</v>
      </c>
    </row>
    <row r="19" spans="2:24" x14ac:dyDescent="0.25">
      <c r="B19" s="2" t="s">
        <v>19</v>
      </c>
      <c r="C19" s="7">
        <v>6.6600000000000006E-2</v>
      </c>
      <c r="D19" s="7">
        <v>4.9299999999999997E-2</v>
      </c>
      <c r="E19" s="7">
        <v>4.19E-2</v>
      </c>
      <c r="F19" s="7">
        <v>4.1799999999999997E-2</v>
      </c>
      <c r="G19" s="7">
        <v>4.0099999999999997E-2</v>
      </c>
      <c r="H19" s="7">
        <v>3.9800000000000002E-2</v>
      </c>
      <c r="I19" s="7">
        <v>3.9800000000000002E-2</v>
      </c>
      <c r="J19" s="7">
        <v>4.07E-2</v>
      </c>
      <c r="K19" s="7">
        <v>4.0500000000000001E-2</v>
      </c>
      <c r="L19" s="7">
        <v>3.9600000000000003E-2</v>
      </c>
      <c r="N19" s="2" t="s">
        <v>19</v>
      </c>
      <c r="O19" s="7">
        <v>0.40589999999999998</v>
      </c>
      <c r="P19" s="7">
        <v>0.36809999999999998</v>
      </c>
      <c r="Q19" s="7">
        <v>0.35949999999999999</v>
      </c>
      <c r="R19" s="7">
        <v>0.35070000000000001</v>
      </c>
      <c r="S19" s="7">
        <v>0.34499999999999997</v>
      </c>
      <c r="T19" s="7">
        <v>0.34839999999999999</v>
      </c>
      <c r="U19" s="7">
        <v>0.33760000000000001</v>
      </c>
      <c r="V19" s="7">
        <v>0.34310000000000002</v>
      </c>
      <c r="W19" s="7">
        <v>0.33429999999999999</v>
      </c>
      <c r="X19" s="7">
        <v>0.35470000000000002</v>
      </c>
    </row>
    <row r="20" spans="2:24" x14ac:dyDescent="0.25">
      <c r="B20" s="2" t="s">
        <v>20</v>
      </c>
      <c r="C20" s="7">
        <v>4.5699999999999998E-2</v>
      </c>
      <c r="D20" s="7">
        <v>4.02E-2</v>
      </c>
      <c r="E20" s="7">
        <v>2.4500000000000001E-2</v>
      </c>
      <c r="F20" s="7">
        <v>2.0400000000000001E-2</v>
      </c>
      <c r="G20" s="7">
        <v>1.9800000000000002E-2</v>
      </c>
      <c r="H20" s="7">
        <v>1.9400000000000001E-2</v>
      </c>
      <c r="I20" s="7">
        <v>1.9199999999999998E-2</v>
      </c>
      <c r="J20" s="7">
        <v>1.9099999999999999E-2</v>
      </c>
      <c r="K20" s="7">
        <v>1.9099999999999999E-2</v>
      </c>
      <c r="L20" s="7">
        <v>1.9099999999999999E-2</v>
      </c>
      <c r="N20" s="2" t="s">
        <v>20</v>
      </c>
      <c r="O20" s="7">
        <v>0.33950000000000002</v>
      </c>
      <c r="P20" s="7">
        <v>0.32800000000000001</v>
      </c>
      <c r="Q20" s="7">
        <v>0.31740000000000002</v>
      </c>
      <c r="R20" s="7">
        <v>0.28910000000000002</v>
      </c>
      <c r="S20" s="7">
        <v>0.27700000000000002</v>
      </c>
      <c r="T20" s="7">
        <v>0.2162</v>
      </c>
      <c r="U20" s="7">
        <v>0.23269999999999999</v>
      </c>
      <c r="V20" s="7">
        <v>0.25619999999999998</v>
      </c>
      <c r="W20" s="7">
        <v>0.254</v>
      </c>
      <c r="X20" s="7">
        <v>0.2354</v>
      </c>
    </row>
    <row r="21" spans="2:24" x14ac:dyDescent="0.25">
      <c r="B21" s="2" t="s">
        <v>21</v>
      </c>
      <c r="C21" s="8">
        <v>6.3299999999999995E-2</v>
      </c>
      <c r="D21" s="7">
        <v>5.1700000000000003E-2</v>
      </c>
      <c r="E21" s="7">
        <v>4.8899999999999999E-2</v>
      </c>
      <c r="F21" s="7">
        <v>4.3499999999999997E-2</v>
      </c>
      <c r="G21" s="7">
        <v>4.1700000000000001E-2</v>
      </c>
      <c r="H21" s="7">
        <v>3.95E-2</v>
      </c>
      <c r="I21" s="7">
        <v>4.6300000000000001E-2</v>
      </c>
      <c r="J21" s="7">
        <v>4.5100000000000001E-2</v>
      </c>
      <c r="K21" s="7">
        <v>3.9199999999999999E-2</v>
      </c>
      <c r="L21" s="7">
        <v>3.6900000000000002E-2</v>
      </c>
      <c r="N21" s="2" t="s">
        <v>21</v>
      </c>
      <c r="O21" s="8">
        <v>0.3513</v>
      </c>
      <c r="P21" s="7">
        <v>0.33789999999999998</v>
      </c>
      <c r="Q21" s="7">
        <v>0.32669999999999999</v>
      </c>
      <c r="R21" s="7">
        <v>0.32340000000000002</v>
      </c>
      <c r="S21" s="7">
        <v>0.3226</v>
      </c>
      <c r="T21" s="7">
        <v>0.30230000000000001</v>
      </c>
      <c r="U21" s="7">
        <v>0.30580000000000002</v>
      </c>
      <c r="V21" s="7">
        <v>0.31359999999999999</v>
      </c>
      <c r="W21" s="7">
        <v>0.30120000000000002</v>
      </c>
      <c r="X21" s="7">
        <v>0.29320000000000002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35.675800000000002</v>
      </c>
      <c r="D26" s="7">
        <v>36.712400000000002</v>
      </c>
      <c r="E26" s="7">
        <v>36.871499999999997</v>
      </c>
      <c r="F26" s="7">
        <v>35.432099999999998</v>
      </c>
      <c r="G26" s="7">
        <v>37.930300000000003</v>
      </c>
      <c r="H26" s="7">
        <v>37.258099999999999</v>
      </c>
      <c r="I26" s="7">
        <v>35.497599999999998</v>
      </c>
      <c r="J26" s="7">
        <v>37.010800000000003</v>
      </c>
      <c r="K26" s="7">
        <v>37.037599999999998</v>
      </c>
      <c r="L26" s="7">
        <v>37.018799999999999</v>
      </c>
      <c r="N26" s="2" t="s">
        <v>16</v>
      </c>
      <c r="O26" s="7">
        <v>909.13030000000003</v>
      </c>
      <c r="P26" s="7">
        <v>909.67070000000001</v>
      </c>
      <c r="Q26" s="7">
        <v>899.23199999999997</v>
      </c>
      <c r="R26" s="7">
        <v>866.82849999999996</v>
      </c>
      <c r="S26" s="7">
        <v>857.54229999999995</v>
      </c>
      <c r="T26" s="7">
        <v>850.62350000000004</v>
      </c>
      <c r="U26" s="7">
        <v>857.10140000000001</v>
      </c>
      <c r="V26" s="7">
        <v>858.88520000000005</v>
      </c>
      <c r="W26" s="7">
        <v>850.27059999999994</v>
      </c>
      <c r="X26" s="7">
        <v>850.89160000000004</v>
      </c>
    </row>
    <row r="27" spans="2:24" x14ac:dyDescent="0.25">
      <c r="B27" s="2" t="s">
        <v>17</v>
      </c>
      <c r="C27" s="7">
        <v>48.039099999999998</v>
      </c>
      <c r="D27" s="7">
        <v>49.254300000000001</v>
      </c>
      <c r="E27" s="7">
        <v>46.451799999999999</v>
      </c>
      <c r="F27" s="7">
        <v>46.698099999999997</v>
      </c>
      <c r="G27" s="7">
        <v>45.626399999999997</v>
      </c>
      <c r="H27" s="7">
        <v>45.720300000000002</v>
      </c>
      <c r="I27" s="7">
        <v>46.790999999999997</v>
      </c>
      <c r="J27" s="7">
        <v>46.448500000000003</v>
      </c>
      <c r="K27" s="7">
        <v>45.9358</v>
      </c>
      <c r="L27" s="7">
        <v>46.936799999999998</v>
      </c>
      <c r="N27" s="2" t="s">
        <v>17</v>
      </c>
      <c r="O27" s="7">
        <v>1081.7791</v>
      </c>
      <c r="P27" s="7">
        <v>1082.0320999999999</v>
      </c>
      <c r="Q27" s="7">
        <v>1080.5248999999999</v>
      </c>
      <c r="R27" s="7">
        <v>1080.0183</v>
      </c>
      <c r="S27" s="7">
        <v>1080.096</v>
      </c>
      <c r="T27" s="7">
        <v>1083.9747</v>
      </c>
      <c r="U27" s="7">
        <v>1078.3568</v>
      </c>
      <c r="V27" s="7">
        <v>1077.8314</v>
      </c>
      <c r="W27" s="7">
        <v>1079.1531</v>
      </c>
      <c r="X27" s="7">
        <v>1083.7098000000001</v>
      </c>
    </row>
    <row r="28" spans="2:24" x14ac:dyDescent="0.25">
      <c r="B28" s="2" t="s">
        <v>18</v>
      </c>
      <c r="C28" s="7">
        <v>85.962199999999996</v>
      </c>
      <c r="D28" s="7">
        <v>84.285899999999998</v>
      </c>
      <c r="E28" s="7">
        <v>82.863500000000002</v>
      </c>
      <c r="F28" s="7">
        <v>86.194500000000005</v>
      </c>
      <c r="G28" s="7">
        <v>84.076899999999995</v>
      </c>
      <c r="H28" s="7">
        <v>85.337100000000007</v>
      </c>
      <c r="I28" s="7">
        <v>85.918700000000001</v>
      </c>
      <c r="J28" s="7">
        <v>85.579499999999996</v>
      </c>
      <c r="K28" s="7">
        <v>84.610100000000003</v>
      </c>
      <c r="L28" s="7">
        <v>84.556799999999996</v>
      </c>
      <c r="N28" s="2" t="s">
        <v>18</v>
      </c>
      <c r="O28" s="7">
        <v>2001.1396999999999</v>
      </c>
      <c r="P28" s="7">
        <v>2007.7188000000001</v>
      </c>
      <c r="Q28" s="7">
        <v>1998.1309000000001</v>
      </c>
      <c r="R28" s="7">
        <v>1997.8281999999999</v>
      </c>
      <c r="S28" s="7">
        <v>1997.511</v>
      </c>
      <c r="T28" s="7">
        <v>1996.4679000000001</v>
      </c>
      <c r="U28" s="7">
        <v>2013.5752</v>
      </c>
      <c r="V28" s="7">
        <v>1996.3225</v>
      </c>
      <c r="W28" s="7">
        <v>2005.316</v>
      </c>
      <c r="X28" s="7">
        <v>1994.0840000000001</v>
      </c>
    </row>
    <row r="29" spans="2:24" x14ac:dyDescent="0.25">
      <c r="B29" s="2" t="s">
        <v>19</v>
      </c>
      <c r="C29" s="7">
        <v>0.83799999999999997</v>
      </c>
      <c r="D29" s="7">
        <v>0.8</v>
      </c>
      <c r="E29" s="7">
        <v>0.79469999999999996</v>
      </c>
      <c r="F29" s="7">
        <v>0.8044</v>
      </c>
      <c r="G29" s="7">
        <v>0.79610000000000003</v>
      </c>
      <c r="H29" s="7">
        <v>0.78969999999999996</v>
      </c>
      <c r="I29" s="7">
        <v>0.78149999999999997</v>
      </c>
      <c r="J29" s="7">
        <v>0.79039999999999999</v>
      </c>
      <c r="K29" s="7">
        <v>0.79169999999999996</v>
      </c>
      <c r="L29" s="7">
        <v>0.79459999999999997</v>
      </c>
      <c r="N29" s="2" t="s">
        <v>19</v>
      </c>
      <c r="O29" s="7">
        <v>4.6653000000000002</v>
      </c>
      <c r="P29" s="7">
        <v>4.5583</v>
      </c>
      <c r="Q29" s="7">
        <v>4.5913000000000004</v>
      </c>
      <c r="R29" s="7">
        <v>4.5765000000000002</v>
      </c>
      <c r="S29" s="7">
        <v>4.5471000000000004</v>
      </c>
      <c r="T29" s="7">
        <v>4.6257999999999999</v>
      </c>
      <c r="U29" s="7">
        <v>4.5568</v>
      </c>
      <c r="V29" s="7">
        <v>4.5750999999999999</v>
      </c>
      <c r="W29" s="7">
        <v>4.6075999999999997</v>
      </c>
      <c r="X29" s="7">
        <v>4.6936999999999998</v>
      </c>
    </row>
    <row r="30" spans="2:24" x14ac:dyDescent="0.25">
      <c r="B30" s="2" t="s">
        <v>20</v>
      </c>
      <c r="C30" s="7">
        <v>0.55069999999999997</v>
      </c>
      <c r="D30" s="7">
        <v>0.54220000000000002</v>
      </c>
      <c r="E30" s="7">
        <v>0.53939999999999999</v>
      </c>
      <c r="F30" s="7">
        <v>0.53539999999999999</v>
      </c>
      <c r="G30" s="7">
        <v>0.53779999999999994</v>
      </c>
      <c r="H30" s="7">
        <v>0.53110000000000002</v>
      </c>
      <c r="I30" s="7">
        <v>0.52980000000000005</v>
      </c>
      <c r="J30" s="7">
        <v>0.53210000000000002</v>
      </c>
      <c r="K30" s="7">
        <v>0.56279999999999997</v>
      </c>
      <c r="L30" s="7">
        <v>0.53449999999999998</v>
      </c>
      <c r="N30" s="2" t="s">
        <v>20</v>
      </c>
      <c r="O30" s="7">
        <v>3.1572</v>
      </c>
      <c r="P30" s="7">
        <v>3.1311</v>
      </c>
      <c r="Q30" s="7">
        <v>3.1396000000000002</v>
      </c>
      <c r="R30" s="7">
        <v>3.1873999999999998</v>
      </c>
      <c r="S30" s="7">
        <v>3.1560000000000001</v>
      </c>
      <c r="T30" s="7">
        <v>3.1383999999999999</v>
      </c>
      <c r="U30" s="7">
        <v>3.1349999999999998</v>
      </c>
      <c r="V30" s="7">
        <v>3.1322999999999999</v>
      </c>
      <c r="W30" s="7">
        <v>3.4416000000000002</v>
      </c>
      <c r="X30" s="7">
        <v>3.0897999999999999</v>
      </c>
    </row>
    <row r="31" spans="2:24" x14ac:dyDescent="0.25">
      <c r="B31" s="2" t="s">
        <v>21</v>
      </c>
      <c r="C31" s="8">
        <v>0.71789999999999998</v>
      </c>
      <c r="D31" s="7">
        <v>0.71660000000000001</v>
      </c>
      <c r="E31" s="7">
        <v>0.70530000000000004</v>
      </c>
      <c r="F31" s="7">
        <v>0.69779999999999998</v>
      </c>
      <c r="G31" s="7">
        <v>0.69230000000000003</v>
      </c>
      <c r="H31" s="7">
        <v>0.69099999999999995</v>
      </c>
      <c r="I31" s="7">
        <v>0.69540000000000002</v>
      </c>
      <c r="J31" s="7">
        <v>0.68469999999999998</v>
      </c>
      <c r="K31" s="7">
        <v>0.68569999999999998</v>
      </c>
      <c r="L31" s="7">
        <v>0.69120000000000004</v>
      </c>
      <c r="N31" s="2" t="s">
        <v>21</v>
      </c>
      <c r="O31" s="8">
        <v>3.7201</v>
      </c>
      <c r="P31" s="7">
        <v>3.7606000000000002</v>
      </c>
      <c r="Q31" s="7">
        <v>3.9746000000000001</v>
      </c>
      <c r="R31" s="7">
        <v>3.9140000000000001</v>
      </c>
      <c r="S31" s="7">
        <v>3.6999</v>
      </c>
      <c r="T31" s="7">
        <v>3.7429000000000001</v>
      </c>
      <c r="U31" s="7">
        <v>3.8731</v>
      </c>
      <c r="V31" s="7">
        <v>4.2115999999999998</v>
      </c>
      <c r="W31" s="7">
        <v>3.7288000000000001</v>
      </c>
      <c r="X31" s="7">
        <v>3.8300999999999998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4.8124999999999991E-3</v>
      </c>
      <c r="D36" s="7">
        <f t="shared" ref="D36:D41" si="1">IF(COUNTBLANK(O6:X6)&gt;0,"undone",TRIMMEAN(O6:X6,2/COUNT(O6:X6)))</f>
        <v>0.13966250000000002</v>
      </c>
      <c r="E36" s="7">
        <f t="shared" ref="E36:E41" si="2">IF(COUNTBLANK(C16:L16)&gt;0,"undone",TRIMMEAN(C16:L16,2/COUNT(C16:L16)))</f>
        <v>0.38126250000000006</v>
      </c>
      <c r="F36" s="7">
        <f t="shared" ref="F36:F41" si="3">IF(COUNTBLANK(O16:X16)&gt;0,"undone",TRIMMEAN(O16:X16,2/COUNT(O16:X16)))</f>
        <v>9.1625374999999991</v>
      </c>
      <c r="G36" s="7">
        <f t="shared" ref="G36:G41" si="4">IF(COUNTBLANK(C26:L26)&gt;0,"undone",TRIMMEAN(C26:L26,2/COUNT(C26:L26)))</f>
        <v>36.635325000000002</v>
      </c>
      <c r="H36" s="7">
        <f t="shared" ref="H36:H41" si="5">IF(COUNTBLANK(O26:X26)&gt;0,"undone",TRIMMEAN(O26:X26,2/COUNT(O26:X26)))</f>
        <v>868.77935000000002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7.4500000000000009E-3</v>
      </c>
      <c r="D37" s="7">
        <f t="shared" si="1"/>
        <v>0.1338625</v>
      </c>
      <c r="E37" s="7">
        <f t="shared" si="2"/>
        <v>0.67284999999999995</v>
      </c>
      <c r="F37" s="7">
        <f t="shared" si="3"/>
        <v>11.793262499999999</v>
      </c>
      <c r="G37" s="7">
        <f t="shared" si="4"/>
        <v>46.627675000000004</v>
      </c>
      <c r="H37" s="7">
        <f t="shared" si="5"/>
        <v>1080.7087624999999</v>
      </c>
    </row>
    <row r="38" spans="2:17" x14ac:dyDescent="0.25">
      <c r="B38" s="2" t="s">
        <v>18</v>
      </c>
      <c r="C38" s="7">
        <f t="shared" si="0"/>
        <v>1.2637499999999998E-2</v>
      </c>
      <c r="D38" s="7">
        <f t="shared" si="1"/>
        <v>0.22673750000000004</v>
      </c>
      <c r="E38" s="7">
        <f t="shared" si="2"/>
        <v>0.97297500000000003</v>
      </c>
      <c r="F38" s="7">
        <f t="shared" si="3"/>
        <v>21.582700000000003</v>
      </c>
      <c r="G38" s="7">
        <f t="shared" si="4"/>
        <v>85.040899999999993</v>
      </c>
      <c r="H38" s="7">
        <f t="shared" si="5"/>
        <v>2000.0543750000002</v>
      </c>
    </row>
    <row r="39" spans="2:17" x14ac:dyDescent="0.25">
      <c r="B39" s="2" t="s">
        <v>19</v>
      </c>
      <c r="C39" s="7">
        <f t="shared" si="0"/>
        <v>4.4374999999999996E-3</v>
      </c>
      <c r="D39" s="7">
        <f t="shared" si="1"/>
        <v>2.1587499999999999E-2</v>
      </c>
      <c r="E39" s="7">
        <f t="shared" si="2"/>
        <v>4.1737500000000004E-2</v>
      </c>
      <c r="F39" s="7">
        <f t="shared" si="3"/>
        <v>0.35088750000000002</v>
      </c>
      <c r="G39" s="7">
        <f t="shared" si="4"/>
        <v>0.79519999999999991</v>
      </c>
      <c r="H39" s="7">
        <f t="shared" si="5"/>
        <v>4.5945875000000003</v>
      </c>
      <c r="J39" s="9"/>
    </row>
    <row r="40" spans="2:17" x14ac:dyDescent="0.25">
      <c r="B40" s="2" t="s">
        <v>20</v>
      </c>
      <c r="C40" s="7">
        <f t="shared" si="0"/>
        <v>2.3625E-3</v>
      </c>
      <c r="D40" s="7">
        <f t="shared" si="1"/>
        <v>1.2125E-2</v>
      </c>
      <c r="E40" s="7">
        <f t="shared" si="2"/>
        <v>2.2712500000000004E-2</v>
      </c>
      <c r="F40" s="7">
        <f t="shared" si="3"/>
        <v>0.273725</v>
      </c>
      <c r="G40" s="7">
        <f t="shared" si="4"/>
        <v>0.53790000000000004</v>
      </c>
      <c r="H40" s="7">
        <f t="shared" si="5"/>
        <v>3.147125</v>
      </c>
    </row>
    <row r="41" spans="2:17" x14ac:dyDescent="0.25">
      <c r="B41" s="2" t="s">
        <v>21</v>
      </c>
      <c r="C41" s="7">
        <f t="shared" si="0"/>
        <v>4.5374999999999999E-3</v>
      </c>
      <c r="D41" s="7">
        <f t="shared" si="1"/>
        <v>2.4125000000000001E-2</v>
      </c>
      <c r="E41" s="7">
        <f t="shared" si="2"/>
        <v>4.4487499999999999E-2</v>
      </c>
      <c r="F41" s="7">
        <f t="shared" si="3"/>
        <v>0.31668750000000001</v>
      </c>
      <c r="G41" s="7">
        <f t="shared" si="4"/>
        <v>0.69691249999999993</v>
      </c>
      <c r="H41" s="7">
        <f t="shared" si="5"/>
        <v>3.8180250000000004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zoomScale="50" zoomScaleNormal="70" workbookViewId="0">
      <selection activeCell="G40" sqref="G40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6" t="s">
        <v>14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2.0000000000000001E-4</v>
      </c>
      <c r="D6" s="7">
        <v>2.0000000000000001E-4</v>
      </c>
      <c r="E6" s="7">
        <v>1E-4</v>
      </c>
      <c r="F6" s="7">
        <v>2.0000000000000001E-4</v>
      </c>
      <c r="G6" s="7">
        <v>2.0000000000000001E-4</v>
      </c>
      <c r="H6" s="7">
        <v>2.0000000000000001E-4</v>
      </c>
      <c r="I6" s="7">
        <v>2.0000000000000001E-4</v>
      </c>
      <c r="J6" s="7">
        <v>1E-4</v>
      </c>
      <c r="K6" s="7">
        <v>2.0000000000000001E-4</v>
      </c>
      <c r="L6" s="7">
        <v>1E-4</v>
      </c>
      <c r="N6" s="2" t="s">
        <v>16</v>
      </c>
      <c r="O6" s="7">
        <v>8.0000000000000004E-4</v>
      </c>
      <c r="P6" s="7">
        <v>8.0000000000000004E-4</v>
      </c>
      <c r="Q6" s="7">
        <v>8.0000000000000004E-4</v>
      </c>
      <c r="R6" s="7">
        <v>8.9999999999999998E-4</v>
      </c>
      <c r="S6" s="7">
        <v>8.9999999999999998E-4</v>
      </c>
      <c r="T6" s="7">
        <v>8.0000000000000004E-4</v>
      </c>
      <c r="U6" s="7">
        <v>8.0000000000000004E-4</v>
      </c>
      <c r="V6" s="7">
        <v>8.0000000000000004E-4</v>
      </c>
      <c r="W6" s="7">
        <v>8.9999999999999998E-4</v>
      </c>
      <c r="X6" s="7">
        <v>8.0000000000000004E-4</v>
      </c>
    </row>
    <row r="7" spans="1:24" x14ac:dyDescent="0.25">
      <c r="B7" s="2" t="s">
        <v>17</v>
      </c>
      <c r="C7" s="7">
        <v>5.4000000000000003E-3</v>
      </c>
      <c r="D7" s="7">
        <v>4.8999999999999998E-3</v>
      </c>
      <c r="E7" s="7">
        <v>4.4999999999999997E-3</v>
      </c>
      <c r="F7" s="7">
        <v>4.4000000000000003E-3</v>
      </c>
      <c r="G7" s="7">
        <v>4.4999999999999997E-3</v>
      </c>
      <c r="H7" s="7">
        <v>4.3E-3</v>
      </c>
      <c r="I7" s="7">
        <v>4.4000000000000003E-3</v>
      </c>
      <c r="J7" s="7">
        <v>4.4000000000000003E-3</v>
      </c>
      <c r="K7" s="7">
        <v>4.4000000000000003E-3</v>
      </c>
      <c r="L7" s="7">
        <v>4.4000000000000003E-3</v>
      </c>
      <c r="N7" s="2" t="s">
        <v>17</v>
      </c>
      <c r="O7" s="7">
        <v>0.1105</v>
      </c>
      <c r="P7" s="7">
        <v>0.1074</v>
      </c>
      <c r="Q7" s="7">
        <v>0.1075</v>
      </c>
      <c r="R7" s="7">
        <v>0.1074</v>
      </c>
      <c r="S7" s="7">
        <v>0.1075</v>
      </c>
      <c r="T7" s="7">
        <v>0.1152</v>
      </c>
      <c r="U7" s="7">
        <v>0.1074</v>
      </c>
      <c r="V7" s="7">
        <v>0.1074</v>
      </c>
      <c r="W7" s="7">
        <v>0.1074</v>
      </c>
      <c r="X7" s="7">
        <v>0.1074</v>
      </c>
    </row>
    <row r="8" spans="1:24" x14ac:dyDescent="0.25">
      <c r="B8" s="2" t="s">
        <v>18</v>
      </c>
      <c r="C8" s="7">
        <v>5.4000000000000003E-3</v>
      </c>
      <c r="D8" s="7">
        <v>5.4000000000000003E-3</v>
      </c>
      <c r="E8" s="7">
        <v>5.1999999999999998E-3</v>
      </c>
      <c r="F8" s="7">
        <v>5.1000000000000004E-3</v>
      </c>
      <c r="G8" s="7">
        <v>5.1000000000000004E-3</v>
      </c>
      <c r="H8" s="7">
        <v>5.1000000000000004E-3</v>
      </c>
      <c r="I8" s="7">
        <v>5.1000000000000004E-3</v>
      </c>
      <c r="J8" s="7">
        <v>5.1000000000000004E-3</v>
      </c>
      <c r="K8" s="7">
        <v>5.1000000000000004E-3</v>
      </c>
      <c r="L8" s="7">
        <v>5.1999999999999998E-3</v>
      </c>
      <c r="N8" s="2" t="s">
        <v>18</v>
      </c>
      <c r="O8" s="7">
        <v>0.12620000000000001</v>
      </c>
      <c r="P8" s="7">
        <v>0.12620000000000001</v>
      </c>
      <c r="Q8" s="7">
        <v>0.12620000000000001</v>
      </c>
      <c r="R8" s="7">
        <v>0.12609999999999999</v>
      </c>
      <c r="S8" s="7">
        <v>0.13070000000000001</v>
      </c>
      <c r="T8" s="7">
        <v>0.1313</v>
      </c>
      <c r="U8" s="7">
        <v>0.1275</v>
      </c>
      <c r="V8" s="7">
        <v>0.1275</v>
      </c>
      <c r="W8" s="7">
        <v>0.12740000000000001</v>
      </c>
      <c r="X8" s="7">
        <v>0.1275</v>
      </c>
    </row>
    <row r="9" spans="1:24" x14ac:dyDescent="0.25">
      <c r="B9" s="2" t="s">
        <v>19</v>
      </c>
      <c r="C9" s="7">
        <v>3.3E-3</v>
      </c>
      <c r="D9" s="7">
        <v>2.7000000000000001E-3</v>
      </c>
      <c r="E9" s="7">
        <v>2.5999999999999999E-3</v>
      </c>
      <c r="F9" s="7">
        <v>2.5999999999999999E-3</v>
      </c>
      <c r="G9" s="7">
        <v>2.5999999999999999E-3</v>
      </c>
      <c r="H9" s="7">
        <v>2.5999999999999999E-3</v>
      </c>
      <c r="I9" s="7">
        <v>2.7000000000000001E-3</v>
      </c>
      <c r="J9" s="7">
        <v>2.7000000000000001E-3</v>
      </c>
      <c r="K9" s="7">
        <v>2.7000000000000001E-3</v>
      </c>
      <c r="L9" s="7">
        <v>2.5999999999999999E-3</v>
      </c>
      <c r="N9" s="2" t="s">
        <v>19</v>
      </c>
      <c r="O9" s="7">
        <v>1.67E-2</v>
      </c>
      <c r="P9" s="7">
        <v>1.6400000000000001E-2</v>
      </c>
      <c r="Q9" s="7">
        <v>1.6400000000000001E-2</v>
      </c>
      <c r="R9" s="7">
        <v>1.6400000000000001E-2</v>
      </c>
      <c r="S9" s="7">
        <v>1.6400000000000001E-2</v>
      </c>
      <c r="T9" s="7">
        <v>1.6400000000000001E-2</v>
      </c>
      <c r="U9" s="7">
        <v>1.6400000000000001E-2</v>
      </c>
      <c r="V9" s="7">
        <v>1.6400000000000001E-2</v>
      </c>
      <c r="W9" s="7">
        <v>1.6299999999999999E-2</v>
      </c>
      <c r="X9" s="7">
        <v>1.6199999999999999E-2</v>
      </c>
    </row>
    <row r="10" spans="1:24" x14ac:dyDescent="0.25">
      <c r="B10" s="2" t="s">
        <v>20</v>
      </c>
      <c r="C10" s="7">
        <v>5.0000000000000001E-3</v>
      </c>
      <c r="D10" s="7">
        <v>4.7999999999999996E-3</v>
      </c>
      <c r="E10" s="7">
        <v>4.4999999999999997E-3</v>
      </c>
      <c r="F10" s="7">
        <v>4.4999999999999997E-3</v>
      </c>
      <c r="G10" s="7">
        <v>4.4000000000000003E-3</v>
      </c>
      <c r="H10" s="7">
        <v>4.3E-3</v>
      </c>
      <c r="I10" s="7">
        <v>4.4000000000000003E-3</v>
      </c>
      <c r="J10" s="7">
        <v>4.4000000000000003E-3</v>
      </c>
      <c r="K10" s="7">
        <v>4.4000000000000003E-3</v>
      </c>
      <c r="L10" s="7">
        <v>4.4000000000000003E-3</v>
      </c>
      <c r="N10" s="2" t="s">
        <v>20</v>
      </c>
      <c r="O10" s="7">
        <v>9.8100000000000007E-2</v>
      </c>
      <c r="P10" s="7">
        <v>0.1016</v>
      </c>
      <c r="Q10" s="7">
        <v>0.10100000000000001</v>
      </c>
      <c r="R10" s="7">
        <v>0.1011</v>
      </c>
      <c r="S10" s="7">
        <v>0.1016</v>
      </c>
      <c r="T10" s="7">
        <v>0.1014</v>
      </c>
      <c r="U10" s="7">
        <v>0.10150000000000001</v>
      </c>
      <c r="V10" s="7">
        <v>0.10100000000000001</v>
      </c>
      <c r="W10" s="7">
        <v>0.10100000000000001</v>
      </c>
      <c r="X10" s="7">
        <v>0.1007</v>
      </c>
    </row>
    <row r="11" spans="1:24" x14ac:dyDescent="0.25">
      <c r="B11" s="2" t="s">
        <v>21</v>
      </c>
      <c r="C11" s="8">
        <v>3.5000000000000001E-3</v>
      </c>
      <c r="D11" s="7">
        <v>3.0000000000000001E-3</v>
      </c>
      <c r="E11" s="7">
        <v>3.0000000000000001E-3</v>
      </c>
      <c r="F11" s="7">
        <v>3.0999999999999999E-3</v>
      </c>
      <c r="G11" s="7">
        <v>3.2000000000000002E-3</v>
      </c>
      <c r="H11" s="7">
        <v>2.8999999999999998E-3</v>
      </c>
      <c r="I11" s="7">
        <v>3.0000000000000001E-3</v>
      </c>
      <c r="J11" s="7">
        <v>3.0000000000000001E-3</v>
      </c>
      <c r="K11" s="7">
        <v>2.8999999999999998E-3</v>
      </c>
      <c r="L11" s="7">
        <v>3.0000000000000001E-3</v>
      </c>
      <c r="N11" s="2" t="s">
        <v>21</v>
      </c>
      <c r="O11" s="8">
        <v>1.77E-2</v>
      </c>
      <c r="P11" s="7">
        <v>2.1999999999999999E-2</v>
      </c>
      <c r="Q11" s="7">
        <v>8.8700000000000001E-2</v>
      </c>
      <c r="R11" s="7">
        <v>2.8400000000000002E-2</v>
      </c>
      <c r="S11" s="7">
        <v>2.6200000000000001E-2</v>
      </c>
      <c r="T11" s="7">
        <v>2.6499999999999999E-2</v>
      </c>
      <c r="U11" s="7">
        <v>2.1299999999999999E-2</v>
      </c>
      <c r="V11" s="7">
        <v>2.0400000000000001E-2</v>
      </c>
      <c r="W11" s="7">
        <v>2.01E-2</v>
      </c>
      <c r="X11" s="7">
        <v>1.9699999999999999E-2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1.9E-3</v>
      </c>
      <c r="D16" s="7">
        <v>1.9E-3</v>
      </c>
      <c r="E16" s="7">
        <v>1.9E-3</v>
      </c>
      <c r="F16" s="7">
        <v>1.9E-3</v>
      </c>
      <c r="G16" s="7">
        <v>1.9E-3</v>
      </c>
      <c r="H16" s="7">
        <v>1.9E-3</v>
      </c>
      <c r="I16" s="7">
        <v>1.9E-3</v>
      </c>
      <c r="J16" s="7">
        <v>1.9E-3</v>
      </c>
      <c r="K16" s="7">
        <v>1.9E-3</v>
      </c>
      <c r="L16" s="7">
        <v>1.9E-3</v>
      </c>
      <c r="N16" s="2" t="s">
        <v>16</v>
      </c>
      <c r="O16" s="7">
        <v>7.4000000000000003E-3</v>
      </c>
      <c r="P16" s="7">
        <v>7.4000000000000003E-3</v>
      </c>
      <c r="Q16" s="7">
        <v>7.3000000000000001E-3</v>
      </c>
      <c r="R16" s="7">
        <v>7.3000000000000001E-3</v>
      </c>
      <c r="S16" s="7">
        <v>7.4000000000000003E-3</v>
      </c>
      <c r="T16" s="7">
        <v>7.4000000000000003E-3</v>
      </c>
      <c r="U16" s="7">
        <v>7.4000000000000003E-3</v>
      </c>
      <c r="V16" s="7">
        <v>7.4000000000000003E-3</v>
      </c>
      <c r="W16" s="7">
        <v>7.3000000000000001E-3</v>
      </c>
      <c r="X16" s="7">
        <v>7.4000000000000003E-3</v>
      </c>
    </row>
    <row r="17" spans="2:24" x14ac:dyDescent="0.25">
      <c r="B17" s="2" t="s">
        <v>17</v>
      </c>
      <c r="C17" s="7">
        <v>0.4728</v>
      </c>
      <c r="D17" s="7">
        <v>0.42830000000000001</v>
      </c>
      <c r="E17" s="7">
        <v>0.42130000000000001</v>
      </c>
      <c r="F17" s="7">
        <v>0.42559999999999998</v>
      </c>
      <c r="G17" s="7">
        <v>0.41320000000000001</v>
      </c>
      <c r="H17" s="7">
        <v>0.41310000000000002</v>
      </c>
      <c r="I17" s="7">
        <v>0.41310000000000002</v>
      </c>
      <c r="J17" s="7">
        <v>0.41310000000000002</v>
      </c>
      <c r="K17" s="7">
        <v>0.42249999999999999</v>
      </c>
      <c r="L17" s="7">
        <v>0.41570000000000001</v>
      </c>
      <c r="N17" s="2" t="s">
        <v>17</v>
      </c>
      <c r="O17" s="7">
        <v>10.7676</v>
      </c>
      <c r="P17" s="7">
        <v>10.875</v>
      </c>
      <c r="Q17" s="7">
        <v>10.694900000000001</v>
      </c>
      <c r="R17" s="7">
        <v>10.8988</v>
      </c>
      <c r="S17" s="7">
        <v>10.5893</v>
      </c>
      <c r="T17" s="7">
        <v>10.6539</v>
      </c>
      <c r="U17" s="7">
        <v>10.716799999999999</v>
      </c>
      <c r="V17" s="7">
        <v>11.0623</v>
      </c>
      <c r="W17" s="7">
        <v>10.667999999999999</v>
      </c>
      <c r="X17" s="7">
        <v>10.880599999999999</v>
      </c>
    </row>
    <row r="18" spans="2:24" x14ac:dyDescent="0.25">
      <c r="B18" s="2" t="s">
        <v>18</v>
      </c>
      <c r="C18" s="7">
        <v>0.48899999999999999</v>
      </c>
      <c r="D18" s="7">
        <v>0.49430000000000002</v>
      </c>
      <c r="E18" s="7">
        <v>0.49430000000000002</v>
      </c>
      <c r="F18" s="7">
        <v>0.49569999999999997</v>
      </c>
      <c r="G18" s="7">
        <v>0.49390000000000001</v>
      </c>
      <c r="H18" s="7">
        <v>0.49680000000000002</v>
      </c>
      <c r="I18" s="7">
        <v>0.49359999999999998</v>
      </c>
      <c r="J18" s="7">
        <v>0.49370000000000003</v>
      </c>
      <c r="K18" s="7">
        <v>0.49370000000000003</v>
      </c>
      <c r="L18" s="7">
        <v>0.49630000000000002</v>
      </c>
      <c r="N18" s="2" t="s">
        <v>18</v>
      </c>
      <c r="O18" s="7">
        <v>12.4415</v>
      </c>
      <c r="P18" s="7">
        <v>12.48</v>
      </c>
      <c r="Q18" s="7">
        <v>12.531000000000001</v>
      </c>
      <c r="R18" s="7">
        <v>12.525499999999999</v>
      </c>
      <c r="S18" s="7">
        <v>12.5306</v>
      </c>
      <c r="T18" s="7">
        <v>12.663399999999999</v>
      </c>
      <c r="U18" s="7">
        <v>12.2395</v>
      </c>
      <c r="V18" s="7">
        <v>12.3895</v>
      </c>
      <c r="W18" s="7">
        <v>12.596</v>
      </c>
      <c r="X18" s="7">
        <v>12.5985</v>
      </c>
    </row>
    <row r="19" spans="2:24" x14ac:dyDescent="0.25">
      <c r="B19" s="2" t="s">
        <v>19</v>
      </c>
      <c r="C19" s="7">
        <v>3.5099999999999999E-2</v>
      </c>
      <c r="D19" s="7">
        <v>3.44E-2</v>
      </c>
      <c r="E19" s="7">
        <v>3.4500000000000003E-2</v>
      </c>
      <c r="F19" s="7">
        <v>3.4299999999999997E-2</v>
      </c>
      <c r="G19" s="7">
        <v>3.4500000000000003E-2</v>
      </c>
      <c r="H19" s="7">
        <v>3.4299999999999997E-2</v>
      </c>
      <c r="I19" s="7">
        <v>3.44E-2</v>
      </c>
      <c r="J19" s="7">
        <v>3.44E-2</v>
      </c>
      <c r="K19" s="7">
        <v>3.4299999999999997E-2</v>
      </c>
      <c r="L19" s="7">
        <v>3.44E-2</v>
      </c>
      <c r="N19" s="2" t="s">
        <v>19</v>
      </c>
      <c r="O19" s="7">
        <v>0.2122</v>
      </c>
      <c r="P19" s="7">
        <v>0.2114</v>
      </c>
      <c r="Q19" s="7">
        <v>0.21060000000000001</v>
      </c>
      <c r="R19" s="7">
        <v>0.20610000000000001</v>
      </c>
      <c r="S19" s="7">
        <v>0.20660000000000001</v>
      </c>
      <c r="T19" s="7">
        <v>0.2064</v>
      </c>
      <c r="U19" s="7">
        <v>0.21190000000000001</v>
      </c>
      <c r="V19" s="7">
        <v>0.20630000000000001</v>
      </c>
      <c r="W19" s="7">
        <v>0.20899999999999999</v>
      </c>
      <c r="X19" s="7">
        <v>0.20810000000000001</v>
      </c>
    </row>
    <row r="20" spans="2:24" x14ac:dyDescent="0.25">
      <c r="B20" s="2" t="s">
        <v>20</v>
      </c>
      <c r="C20" s="7">
        <v>0.38600000000000001</v>
      </c>
      <c r="D20" s="7">
        <v>0.38600000000000001</v>
      </c>
      <c r="E20" s="7">
        <v>0.38569999999999999</v>
      </c>
      <c r="F20" s="7">
        <v>0.38550000000000001</v>
      </c>
      <c r="G20" s="7">
        <v>0.38850000000000001</v>
      </c>
      <c r="H20" s="7">
        <v>0.38529999999999998</v>
      </c>
      <c r="I20" s="7">
        <v>0.3856</v>
      </c>
      <c r="J20" s="7">
        <v>0.38540000000000002</v>
      </c>
      <c r="K20" s="7">
        <v>0.3886</v>
      </c>
      <c r="L20" s="7">
        <v>0.3856</v>
      </c>
      <c r="N20" s="2" t="s">
        <v>20</v>
      </c>
      <c r="O20" s="7">
        <v>9.6997999999999998</v>
      </c>
      <c r="P20" s="7">
        <v>9.5576000000000008</v>
      </c>
      <c r="Q20" s="7">
        <v>9.6310000000000002</v>
      </c>
      <c r="R20" s="7">
        <v>9.6272000000000002</v>
      </c>
      <c r="S20" s="7">
        <v>9.5707000000000004</v>
      </c>
      <c r="T20" s="7">
        <v>9.6526999999999994</v>
      </c>
      <c r="U20" s="7">
        <v>9.5907999999999998</v>
      </c>
      <c r="V20" s="7">
        <v>9.6067999999999998</v>
      </c>
      <c r="W20" s="7">
        <v>9.8727999999999998</v>
      </c>
      <c r="X20" s="7">
        <v>9.3752999999999993</v>
      </c>
    </row>
    <row r="21" spans="2:24" x14ac:dyDescent="0.25">
      <c r="B21" s="2" t="s">
        <v>21</v>
      </c>
      <c r="C21" s="8">
        <v>3.5099999999999999E-2</v>
      </c>
      <c r="D21" s="7">
        <v>3.3399999999999999E-2</v>
      </c>
      <c r="E21" s="7">
        <v>3.3500000000000002E-2</v>
      </c>
      <c r="F21" s="7">
        <v>3.4500000000000003E-2</v>
      </c>
      <c r="G21" s="7">
        <v>3.3300000000000003E-2</v>
      </c>
      <c r="H21" s="7">
        <v>3.27E-2</v>
      </c>
      <c r="I21" s="7">
        <v>3.2599999999999997E-2</v>
      </c>
      <c r="J21" s="7">
        <v>3.2500000000000001E-2</v>
      </c>
      <c r="K21" s="7">
        <v>3.2800000000000003E-2</v>
      </c>
      <c r="L21" s="7">
        <v>3.2599999999999997E-2</v>
      </c>
      <c r="N21" s="2" t="s">
        <v>21</v>
      </c>
      <c r="O21" s="8">
        <v>0.17749999999999999</v>
      </c>
      <c r="P21" s="7">
        <v>0.17610000000000001</v>
      </c>
      <c r="Q21" s="7">
        <v>0.17649999999999999</v>
      </c>
      <c r="R21" s="7">
        <v>0.17430000000000001</v>
      </c>
      <c r="S21" s="7">
        <v>0.17330000000000001</v>
      </c>
      <c r="T21" s="7">
        <v>0.17150000000000001</v>
      </c>
      <c r="U21" s="7">
        <v>0.17050000000000001</v>
      </c>
      <c r="V21" s="7">
        <v>0.17069999999999999</v>
      </c>
      <c r="W21" s="7">
        <v>0.17069999999999999</v>
      </c>
      <c r="X21" s="7">
        <v>0.17019999999999999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1.46E-2</v>
      </c>
      <c r="D26" s="7">
        <v>1.46E-2</v>
      </c>
      <c r="E26" s="7">
        <v>1.46E-2</v>
      </c>
      <c r="F26" s="7">
        <v>1.46E-2</v>
      </c>
      <c r="G26" s="7">
        <v>1.46E-2</v>
      </c>
      <c r="H26" s="7">
        <v>1.46E-2</v>
      </c>
      <c r="I26" s="7">
        <v>1.46E-2</v>
      </c>
      <c r="J26" s="7">
        <v>1.46E-2</v>
      </c>
      <c r="K26" s="7">
        <v>1.46E-2</v>
      </c>
      <c r="L26" s="7">
        <v>1.46E-2</v>
      </c>
      <c r="N26" s="2" t="s">
        <v>16</v>
      </c>
      <c r="O26" s="7">
        <v>7.4800000000000005E-2</v>
      </c>
      <c r="P26" s="7">
        <v>7.5200000000000003E-2</v>
      </c>
      <c r="Q26" s="7">
        <v>7.5200000000000003E-2</v>
      </c>
      <c r="R26" s="7">
        <v>7.5200000000000003E-2</v>
      </c>
      <c r="S26" s="7">
        <v>7.5200000000000003E-2</v>
      </c>
      <c r="T26" s="7">
        <v>7.5200000000000003E-2</v>
      </c>
      <c r="U26" s="7">
        <v>7.5200000000000003E-2</v>
      </c>
      <c r="V26" s="7">
        <v>8.14E-2</v>
      </c>
      <c r="W26" s="7">
        <v>7.5200000000000003E-2</v>
      </c>
      <c r="X26" s="7">
        <v>7.5200000000000003E-2</v>
      </c>
    </row>
    <row r="27" spans="2:24" x14ac:dyDescent="0.25">
      <c r="B27" s="2" t="s">
        <v>17</v>
      </c>
      <c r="C27" s="7">
        <v>42.798400000000001</v>
      </c>
      <c r="D27" s="7">
        <v>43.040799999999997</v>
      </c>
      <c r="E27" s="7">
        <v>42.493600000000001</v>
      </c>
      <c r="F27" s="7">
        <v>42.705199999999998</v>
      </c>
      <c r="G27" s="7">
        <v>43.103900000000003</v>
      </c>
      <c r="H27" s="7">
        <v>42.894599999999997</v>
      </c>
      <c r="I27" s="7">
        <v>42.5122</v>
      </c>
      <c r="J27" s="7">
        <v>43.038699999999999</v>
      </c>
      <c r="K27" s="7">
        <v>42.733400000000003</v>
      </c>
      <c r="L27" s="7">
        <v>43.223300000000002</v>
      </c>
      <c r="N27" s="2" t="s">
        <v>17</v>
      </c>
      <c r="O27" s="7">
        <v>1073.5264</v>
      </c>
      <c r="P27" s="7">
        <v>1069.1261</v>
      </c>
      <c r="Q27" s="7">
        <v>1069.9347</v>
      </c>
      <c r="R27" s="7">
        <v>1076.0891999999999</v>
      </c>
      <c r="S27" s="7">
        <v>1073.9666999999999</v>
      </c>
      <c r="T27" s="7">
        <v>1071.7</v>
      </c>
      <c r="U27" s="7">
        <v>1074.7550000000001</v>
      </c>
      <c r="V27" s="7">
        <v>1088.5278000000001</v>
      </c>
      <c r="W27" s="7">
        <v>1075.3561</v>
      </c>
      <c r="X27" s="7">
        <v>1089.2002</v>
      </c>
    </row>
    <row r="28" spans="2:24" x14ac:dyDescent="0.25">
      <c r="B28" s="2" t="s">
        <v>18</v>
      </c>
      <c r="C28" s="7">
        <v>50.285299999999999</v>
      </c>
      <c r="D28" s="7">
        <v>50.071100000000001</v>
      </c>
      <c r="E28" s="7">
        <v>49.988700000000001</v>
      </c>
      <c r="F28" s="7">
        <v>50.392499999999998</v>
      </c>
      <c r="G28" s="7">
        <v>50.91</v>
      </c>
      <c r="H28" s="7">
        <v>50.155000000000001</v>
      </c>
      <c r="I28" s="7">
        <v>50.233600000000003</v>
      </c>
      <c r="J28" s="7">
        <v>50.6706</v>
      </c>
      <c r="K28" s="7">
        <v>50.142000000000003</v>
      </c>
      <c r="L28" s="7">
        <v>49.941499999999998</v>
      </c>
      <c r="N28" s="2" t="s">
        <v>18</v>
      </c>
      <c r="O28" s="7">
        <v>1298.9223</v>
      </c>
      <c r="P28" s="7">
        <v>1272.8871999999999</v>
      </c>
      <c r="Q28" s="7">
        <v>1252.0021999999999</v>
      </c>
      <c r="R28" s="7">
        <v>1267.1133</v>
      </c>
      <c r="S28" s="7">
        <v>1256.5279</v>
      </c>
      <c r="T28" s="7">
        <v>1256.3224</v>
      </c>
      <c r="U28" s="7">
        <v>1255.9218000000001</v>
      </c>
      <c r="V28" s="7">
        <v>1252.8581999999999</v>
      </c>
      <c r="W28" s="7">
        <v>1263.2637</v>
      </c>
      <c r="X28" s="7">
        <v>1258.2191</v>
      </c>
    </row>
    <row r="29" spans="2:24" x14ac:dyDescent="0.25">
      <c r="B29" s="2" t="s">
        <v>19</v>
      </c>
      <c r="C29" s="7">
        <v>0.43859999999999999</v>
      </c>
      <c r="D29" s="7">
        <v>0.43359999999999999</v>
      </c>
      <c r="E29" s="7">
        <v>0.43280000000000002</v>
      </c>
      <c r="F29" s="7">
        <v>0.43340000000000001</v>
      </c>
      <c r="G29" s="7">
        <v>0.4345</v>
      </c>
      <c r="H29" s="7">
        <v>0.4325</v>
      </c>
      <c r="I29" s="7">
        <v>0.43990000000000001</v>
      </c>
      <c r="J29" s="7">
        <v>0.43909999999999999</v>
      </c>
      <c r="K29" s="7">
        <v>0.43869999999999998</v>
      </c>
      <c r="L29" s="7">
        <v>0.434</v>
      </c>
      <c r="N29" s="2" t="s">
        <v>19</v>
      </c>
      <c r="O29" s="7">
        <v>2.5009000000000001</v>
      </c>
      <c r="P29" s="7">
        <v>2.4756999999999998</v>
      </c>
      <c r="Q29" s="7">
        <v>2.4910999999999999</v>
      </c>
      <c r="R29" s="7">
        <v>2.4805000000000001</v>
      </c>
      <c r="S29" s="7">
        <v>2.5541999999999998</v>
      </c>
      <c r="T29" s="7">
        <v>2.6444000000000001</v>
      </c>
      <c r="U29" s="7">
        <v>2.4403999999999999</v>
      </c>
      <c r="V29" s="7">
        <v>2.4607000000000001</v>
      </c>
      <c r="W29" s="7">
        <v>2.4626999999999999</v>
      </c>
      <c r="X29" s="7">
        <v>2.5531000000000001</v>
      </c>
    </row>
    <row r="30" spans="2:24" x14ac:dyDescent="0.25">
      <c r="B30" s="2" t="s">
        <v>20</v>
      </c>
      <c r="C30" s="7">
        <v>38.289200000000001</v>
      </c>
      <c r="D30" s="7">
        <v>37.979399999999998</v>
      </c>
      <c r="E30" s="7">
        <v>38.9358</v>
      </c>
      <c r="F30" s="7">
        <v>37.8108</v>
      </c>
      <c r="G30" s="7">
        <v>38.116999999999997</v>
      </c>
      <c r="H30" s="7">
        <v>38.197099999999999</v>
      </c>
      <c r="I30" s="7">
        <v>37.896900000000002</v>
      </c>
      <c r="J30" s="7">
        <v>38.2087</v>
      </c>
      <c r="K30" s="7">
        <v>38.067900000000002</v>
      </c>
      <c r="L30" s="7">
        <v>38.331200000000003</v>
      </c>
      <c r="N30" s="2" t="s">
        <v>20</v>
      </c>
      <c r="O30" s="7">
        <v>948.82309999999995</v>
      </c>
      <c r="P30" s="7">
        <v>951.61369999999999</v>
      </c>
      <c r="Q30" s="7">
        <v>950.03269999999998</v>
      </c>
      <c r="R30" s="7">
        <v>949.83169999999996</v>
      </c>
      <c r="S30" s="7">
        <v>948.57219999999995</v>
      </c>
      <c r="T30" s="7">
        <v>947.44970000000001</v>
      </c>
      <c r="U30" s="7">
        <v>951.57069999999999</v>
      </c>
      <c r="V30" s="7">
        <v>950.87750000000005</v>
      </c>
      <c r="W30" s="7">
        <v>947.33680000000004</v>
      </c>
      <c r="X30" s="7">
        <v>948.62940000000003</v>
      </c>
    </row>
    <row r="31" spans="2:24" x14ac:dyDescent="0.25">
      <c r="B31" s="2" t="s">
        <v>21</v>
      </c>
      <c r="C31" s="8">
        <v>0.35199999999999998</v>
      </c>
      <c r="D31" s="7">
        <v>0.33460000000000001</v>
      </c>
      <c r="E31" s="7">
        <v>0.33229999999999998</v>
      </c>
      <c r="F31" s="7">
        <v>0.33090000000000003</v>
      </c>
      <c r="G31" s="7">
        <v>0.32550000000000001</v>
      </c>
      <c r="H31" s="7">
        <v>0.3256</v>
      </c>
      <c r="I31" s="7">
        <v>0.3881</v>
      </c>
      <c r="J31" s="7">
        <v>0.35239999999999999</v>
      </c>
      <c r="K31" s="7">
        <v>0.33250000000000002</v>
      </c>
      <c r="L31" s="7">
        <v>0.33179999999999998</v>
      </c>
      <c r="N31" s="2" t="s">
        <v>21</v>
      </c>
      <c r="O31" s="8">
        <v>2.1179000000000001</v>
      </c>
      <c r="P31" s="7">
        <v>2.0769000000000002</v>
      </c>
      <c r="Q31" s="7">
        <v>2.0644999999999998</v>
      </c>
      <c r="R31" s="7">
        <v>2.0682999999999998</v>
      </c>
      <c r="S31" s="7">
        <v>2.0952000000000002</v>
      </c>
      <c r="T31" s="7">
        <v>2.0419999999999998</v>
      </c>
      <c r="U31" s="7">
        <v>2.1225999999999998</v>
      </c>
      <c r="V31" s="7">
        <v>2.0956000000000001</v>
      </c>
      <c r="W31" s="7">
        <v>2.1436000000000002</v>
      </c>
      <c r="X31" s="7">
        <v>2.1164999999999998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1.7500000000000003E-4</v>
      </c>
      <c r="D36" s="7">
        <f t="shared" ref="D36:D41" si="1">IF(COUNTBLANK(O6:X6)&gt;0,"undone",TRIMMEAN(O6:X6,2/COUNT(O6:X6)))</f>
        <v>8.25E-4</v>
      </c>
      <c r="E36" s="7">
        <f t="shared" ref="E36:E41" si="2">IF(COUNTBLANK(C16:L16)&gt;0,"undone",TRIMMEAN(C16:L16,2/COUNT(C16:L16)))</f>
        <v>1.9E-3</v>
      </c>
      <c r="F36" s="7">
        <f t="shared" ref="F36:F41" si="3">IF(COUNTBLANK(O16:X16)&gt;0,"undone",TRIMMEAN(O16:X16,2/COUNT(O16:X16)))</f>
        <v>7.3750000000000013E-3</v>
      </c>
      <c r="G36" s="7">
        <f t="shared" ref="G36:G41" si="4">IF(COUNTBLANK(C26:L26)&gt;0,"undone",TRIMMEAN(C26:L26,2/COUNT(C26:L26)))</f>
        <v>1.4599999999999998E-2</v>
      </c>
      <c r="H36" s="7">
        <f t="shared" ref="H36:H41" si="5">IF(COUNTBLANK(O26:X26)&gt;0,"undone",TRIMMEAN(O26:X26,2/COUNT(O26:X26)))</f>
        <v>7.5200000000000003E-2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4.4875000000000002E-3</v>
      </c>
      <c r="D37" s="7">
        <f t="shared" si="1"/>
        <v>0.10781249999999998</v>
      </c>
      <c r="E37" s="7">
        <f t="shared" si="2"/>
        <v>0.41909999999999997</v>
      </c>
      <c r="F37" s="7">
        <f t="shared" si="3"/>
        <v>10.769450000000001</v>
      </c>
      <c r="G37" s="7">
        <f t="shared" si="4"/>
        <v>42.853400000000001</v>
      </c>
      <c r="H37" s="7">
        <f t="shared" si="5"/>
        <v>1075.4819874999998</v>
      </c>
    </row>
    <row r="38" spans="2:17" x14ac:dyDescent="0.25">
      <c r="B38" s="2" t="s">
        <v>18</v>
      </c>
      <c r="C38" s="7">
        <f t="shared" si="0"/>
        <v>5.1624999999999996E-3</v>
      </c>
      <c r="D38" s="7">
        <f t="shared" si="1"/>
        <v>0.12739999999999999</v>
      </c>
      <c r="E38" s="7">
        <f t="shared" si="2"/>
        <v>0.49443750000000003</v>
      </c>
      <c r="F38" s="7">
        <f t="shared" si="3"/>
        <v>12.511575000000001</v>
      </c>
      <c r="G38" s="7">
        <f t="shared" si="4"/>
        <v>50.242349999999995</v>
      </c>
      <c r="H38" s="7">
        <f t="shared" si="5"/>
        <v>1260.3892000000001</v>
      </c>
    </row>
    <row r="39" spans="2:17" x14ac:dyDescent="0.25">
      <c r="B39" s="2" t="s">
        <v>19</v>
      </c>
      <c r="C39" s="7">
        <f t="shared" si="0"/>
        <v>2.6500000000000004E-3</v>
      </c>
      <c r="D39" s="7">
        <f t="shared" si="1"/>
        <v>1.6387499999999999E-2</v>
      </c>
      <c r="E39" s="7">
        <f t="shared" si="2"/>
        <v>3.4399999999999993E-2</v>
      </c>
      <c r="F39" s="7">
        <f t="shared" si="3"/>
        <v>0.20878750000000001</v>
      </c>
      <c r="G39" s="7">
        <f t="shared" si="4"/>
        <v>0.43558749999999996</v>
      </c>
      <c r="H39" s="7">
        <f t="shared" si="5"/>
        <v>2.4973625000000004</v>
      </c>
    </row>
    <row r="40" spans="2:17" x14ac:dyDescent="0.25">
      <c r="B40" s="2" t="s">
        <v>20</v>
      </c>
      <c r="C40" s="7">
        <f t="shared" si="0"/>
        <v>4.4750000000000007E-3</v>
      </c>
      <c r="D40" s="7">
        <f t="shared" si="1"/>
        <v>0.1011625</v>
      </c>
      <c r="E40" s="7">
        <f t="shared" si="2"/>
        <v>0.38603750000000003</v>
      </c>
      <c r="F40" s="7">
        <f t="shared" si="3"/>
        <v>9.6170749999999998</v>
      </c>
      <c r="G40" s="7">
        <f t="shared" si="4"/>
        <v>38.135925</v>
      </c>
      <c r="H40" s="7">
        <f t="shared" si="5"/>
        <v>949.47337500000003</v>
      </c>
    </row>
    <row r="41" spans="2:17" x14ac:dyDescent="0.25">
      <c r="B41" s="2" t="s">
        <v>21</v>
      </c>
      <c r="C41" s="7">
        <f t="shared" si="0"/>
        <v>3.0249999999999999E-3</v>
      </c>
      <c r="D41" s="7">
        <f t="shared" si="1"/>
        <v>2.3074999999999998E-2</v>
      </c>
      <c r="E41" s="7">
        <f t="shared" si="2"/>
        <v>3.3175000000000003E-2</v>
      </c>
      <c r="F41" s="7">
        <f t="shared" si="3"/>
        <v>0.17295000000000002</v>
      </c>
      <c r="G41" s="7">
        <f t="shared" si="4"/>
        <v>0.33651249999999994</v>
      </c>
      <c r="H41" s="7">
        <f t="shared" si="5"/>
        <v>2.0946875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opLeftCell="A55" zoomScale="52" workbookViewId="0">
      <selection activeCell="AB72" sqref="AB72"/>
    </sheetView>
  </sheetViews>
  <sheetFormatPr defaultRowHeight="13.8" x14ac:dyDescent="0.25"/>
  <cols>
    <col min="1" max="1" width="8.796875" style="1"/>
    <col min="2" max="2" width="23.3984375" style="1" bestFit="1" customWidth="1"/>
    <col min="3" max="12" width="9.69921875" style="1" customWidth="1"/>
    <col min="13" max="13" width="8.796875" style="1"/>
    <col min="14" max="14" width="23.3984375" style="1" bestFit="1" customWidth="1"/>
    <col min="15" max="24" width="9.69921875" style="1" customWidth="1"/>
    <col min="25" max="16384" width="8.796875" style="1"/>
  </cols>
  <sheetData>
    <row r="1" spans="1:24" x14ac:dyDescent="0.25">
      <c r="A1" s="16" t="s">
        <v>13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7.6E-3</v>
      </c>
      <c r="D6" s="7">
        <v>7.4000000000000003E-3</v>
      </c>
      <c r="E6" s="7">
        <v>7.1000000000000004E-3</v>
      </c>
      <c r="F6" s="7">
        <v>7.0000000000000001E-3</v>
      </c>
      <c r="G6" s="7">
        <v>7.1000000000000004E-3</v>
      </c>
      <c r="H6" s="7">
        <v>7.1000000000000004E-3</v>
      </c>
      <c r="I6" s="7">
        <v>7.0000000000000001E-3</v>
      </c>
      <c r="J6" s="7">
        <v>7.0000000000000001E-3</v>
      </c>
      <c r="K6" s="7">
        <v>7.0000000000000001E-3</v>
      </c>
      <c r="L6" s="7">
        <v>7.0000000000000001E-3</v>
      </c>
      <c r="N6" s="2" t="s">
        <v>16</v>
      </c>
      <c r="O6" s="7">
        <v>0.17630000000000001</v>
      </c>
      <c r="P6" s="7">
        <v>0.1714</v>
      </c>
      <c r="Q6" s="7">
        <v>0.1714</v>
      </c>
      <c r="R6" s="7">
        <v>0.17510000000000001</v>
      </c>
      <c r="S6" s="7">
        <v>0.1716</v>
      </c>
      <c r="T6" s="7">
        <v>0.17150000000000001</v>
      </c>
      <c r="U6" s="7">
        <v>0.17150000000000001</v>
      </c>
      <c r="V6" s="7">
        <v>0.1716</v>
      </c>
      <c r="W6" s="7">
        <v>0.17150000000000001</v>
      </c>
      <c r="X6" s="7">
        <v>0.1716</v>
      </c>
    </row>
    <row r="7" spans="1:24" x14ac:dyDescent="0.25">
      <c r="B7" s="2" t="s">
        <v>17</v>
      </c>
      <c r="C7" s="7">
        <v>6.1000000000000004E-3</v>
      </c>
      <c r="D7" s="7">
        <v>5.3E-3</v>
      </c>
      <c r="E7" s="7">
        <v>5.7000000000000002E-3</v>
      </c>
      <c r="F7" s="7">
        <v>5.1999999999999998E-3</v>
      </c>
      <c r="G7" s="7">
        <v>5.1000000000000004E-3</v>
      </c>
      <c r="H7" s="7">
        <v>5.1000000000000004E-3</v>
      </c>
      <c r="I7" s="7">
        <v>4.8999999999999998E-3</v>
      </c>
      <c r="J7" s="7">
        <v>5.0000000000000001E-3</v>
      </c>
      <c r="K7" s="7">
        <v>5.0000000000000001E-3</v>
      </c>
      <c r="L7" s="7">
        <v>4.8999999999999998E-3</v>
      </c>
      <c r="N7" s="2" t="s">
        <v>17</v>
      </c>
      <c r="O7" s="7">
        <v>0.12989999999999999</v>
      </c>
      <c r="P7" s="7">
        <v>0.1298</v>
      </c>
      <c r="Q7" s="7">
        <v>0.12939999999999999</v>
      </c>
      <c r="R7" s="7">
        <v>0.1293</v>
      </c>
      <c r="S7" s="7">
        <v>0.12590000000000001</v>
      </c>
      <c r="T7" s="7">
        <v>0.1133</v>
      </c>
      <c r="U7" s="7">
        <v>0.11700000000000001</v>
      </c>
      <c r="V7" s="7">
        <v>0.1125</v>
      </c>
      <c r="W7" s="7">
        <v>0.11260000000000001</v>
      </c>
      <c r="X7" s="7">
        <v>0.11269999999999999</v>
      </c>
    </row>
    <row r="8" spans="1:24" x14ac:dyDescent="0.25">
      <c r="B8" s="2" t="s">
        <v>18</v>
      </c>
      <c r="C8" s="7">
        <v>1.0699999999999999E-2</v>
      </c>
      <c r="D8" s="7">
        <v>1.14E-2</v>
      </c>
      <c r="E8" s="7">
        <v>1.14E-2</v>
      </c>
      <c r="F8" s="7">
        <v>1.14E-2</v>
      </c>
      <c r="G8" s="7">
        <v>1.14E-2</v>
      </c>
      <c r="H8" s="7">
        <v>1.1299999999999999E-2</v>
      </c>
      <c r="I8" s="7">
        <v>1.14E-2</v>
      </c>
      <c r="J8" s="7">
        <v>1.14E-2</v>
      </c>
      <c r="K8" s="7">
        <v>1.1299999999999999E-2</v>
      </c>
      <c r="L8" s="7">
        <v>1.14E-2</v>
      </c>
      <c r="N8" s="2" t="s">
        <v>18</v>
      </c>
      <c r="O8" s="7">
        <v>0.254</v>
      </c>
      <c r="P8" s="7">
        <v>0.26690000000000003</v>
      </c>
      <c r="Q8" s="7">
        <v>0.26679999999999998</v>
      </c>
      <c r="R8" s="7">
        <v>0.26700000000000002</v>
      </c>
      <c r="S8" s="7">
        <v>0.25750000000000001</v>
      </c>
      <c r="T8" s="7">
        <v>0.25390000000000001</v>
      </c>
      <c r="U8" s="7">
        <v>0.26700000000000002</v>
      </c>
      <c r="V8" s="7">
        <v>0.27210000000000001</v>
      </c>
      <c r="W8" s="7">
        <v>0.27100000000000002</v>
      </c>
      <c r="X8" s="7">
        <v>0.2712</v>
      </c>
    </row>
    <row r="9" spans="1:24" x14ac:dyDescent="0.25">
      <c r="B9" s="2" t="s">
        <v>19</v>
      </c>
      <c r="C9" s="7">
        <v>3.8999999999999998E-3</v>
      </c>
      <c r="D9" s="7">
        <v>2.8E-3</v>
      </c>
      <c r="E9" s="7">
        <v>2.8E-3</v>
      </c>
      <c r="F9" s="7">
        <v>2.8E-3</v>
      </c>
      <c r="G9" s="7">
        <v>2.7000000000000001E-3</v>
      </c>
      <c r="H9" s="7">
        <v>2.8E-3</v>
      </c>
      <c r="I9" s="7">
        <v>2.8E-3</v>
      </c>
      <c r="J9" s="7">
        <v>2.8E-3</v>
      </c>
      <c r="K9" s="7">
        <v>2.8E-3</v>
      </c>
      <c r="L9" s="7">
        <v>2.7000000000000001E-3</v>
      </c>
      <c r="N9" s="2" t="s">
        <v>19</v>
      </c>
      <c r="O9" s="7">
        <v>1.6899999999999998E-2</v>
      </c>
      <c r="P9" s="7">
        <v>1.6799999999999999E-2</v>
      </c>
      <c r="Q9" s="7">
        <v>1.6799999999999999E-2</v>
      </c>
      <c r="R9" s="7">
        <v>1.6799999999999999E-2</v>
      </c>
      <c r="S9" s="7">
        <v>1.6799999999999999E-2</v>
      </c>
      <c r="T9" s="7">
        <v>1.7000000000000001E-2</v>
      </c>
      <c r="U9" s="7">
        <v>1.6799999999999999E-2</v>
      </c>
      <c r="V9" s="7">
        <v>1.6799999999999999E-2</v>
      </c>
      <c r="W9" s="7">
        <v>1.6799999999999999E-2</v>
      </c>
      <c r="X9" s="7">
        <v>1.6799999999999999E-2</v>
      </c>
    </row>
    <row r="10" spans="1:24" x14ac:dyDescent="0.25">
      <c r="B10" s="2" t="s">
        <v>20</v>
      </c>
      <c r="C10" s="7">
        <v>4.8999999999999998E-3</v>
      </c>
      <c r="D10" s="7">
        <v>4.5999999999999999E-3</v>
      </c>
      <c r="E10" s="7">
        <v>4.1999999999999997E-3</v>
      </c>
      <c r="F10" s="7">
        <v>4.1000000000000003E-3</v>
      </c>
      <c r="G10" s="7">
        <v>4.1000000000000003E-3</v>
      </c>
      <c r="H10" s="7">
        <v>4.1000000000000003E-3</v>
      </c>
      <c r="I10" s="7">
        <v>4.0000000000000001E-3</v>
      </c>
      <c r="J10" s="7">
        <v>4.1000000000000003E-3</v>
      </c>
      <c r="K10" s="7">
        <v>4.1000000000000003E-3</v>
      </c>
      <c r="L10" s="7">
        <v>4.1000000000000003E-3</v>
      </c>
      <c r="N10" s="2" t="s">
        <v>20</v>
      </c>
      <c r="O10" s="7">
        <v>9.5000000000000001E-2</v>
      </c>
      <c r="P10" s="7">
        <v>9.3100000000000002E-2</v>
      </c>
      <c r="Q10" s="7">
        <v>9.3100000000000002E-2</v>
      </c>
      <c r="R10" s="7">
        <v>9.7100000000000006E-2</v>
      </c>
      <c r="S10" s="7">
        <v>9.2700000000000005E-2</v>
      </c>
      <c r="T10" s="7">
        <v>9.2799999999999994E-2</v>
      </c>
      <c r="U10" s="7">
        <v>9.2799999999999994E-2</v>
      </c>
      <c r="V10" s="7">
        <v>9.2700000000000005E-2</v>
      </c>
      <c r="W10" s="7">
        <v>9.2600000000000002E-2</v>
      </c>
      <c r="X10" s="7">
        <v>9.2700000000000005E-2</v>
      </c>
    </row>
    <row r="11" spans="1:24" x14ac:dyDescent="0.25">
      <c r="B11" s="2" t="s">
        <v>21</v>
      </c>
      <c r="C11" s="8">
        <v>3.3999999999999998E-3</v>
      </c>
      <c r="D11" s="7">
        <v>2.8999999999999998E-3</v>
      </c>
      <c r="E11" s="7">
        <v>2.5999999999999999E-3</v>
      </c>
      <c r="F11" s="7">
        <v>2.7000000000000001E-3</v>
      </c>
      <c r="G11" s="7">
        <v>2.8E-3</v>
      </c>
      <c r="H11" s="7">
        <v>2.7000000000000001E-3</v>
      </c>
      <c r="I11" s="7">
        <v>2.5999999999999999E-3</v>
      </c>
      <c r="J11" s="7">
        <v>2.5999999999999999E-3</v>
      </c>
      <c r="K11" s="7">
        <v>2.7000000000000001E-3</v>
      </c>
      <c r="L11" s="7">
        <v>2.7000000000000001E-3</v>
      </c>
      <c r="N11" s="2" t="s">
        <v>21</v>
      </c>
      <c r="O11" s="8">
        <v>1.6799999999999999E-2</v>
      </c>
      <c r="P11" s="7">
        <v>1.5299999999999999E-2</v>
      </c>
      <c r="Q11" s="7">
        <v>1.52E-2</v>
      </c>
      <c r="R11" s="7">
        <v>1.52E-2</v>
      </c>
      <c r="S11" s="7">
        <v>1.52E-2</v>
      </c>
      <c r="T11" s="7">
        <v>1.4999999999999999E-2</v>
      </c>
      <c r="U11" s="7">
        <v>1.5100000000000001E-2</v>
      </c>
      <c r="V11" s="7">
        <v>1.52E-2</v>
      </c>
      <c r="W11" s="7">
        <v>1.4999999999999999E-2</v>
      </c>
      <c r="X11" s="7">
        <v>1.5100000000000001E-2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0.68799999999999994</v>
      </c>
      <c r="D16" s="7">
        <v>0.69350000000000001</v>
      </c>
      <c r="E16" s="7">
        <v>0.67989999999999995</v>
      </c>
      <c r="F16" s="7">
        <v>0.67849999999999999</v>
      </c>
      <c r="G16" s="7">
        <v>0.68240000000000001</v>
      </c>
      <c r="H16" s="7">
        <v>0.67879999999999996</v>
      </c>
      <c r="I16" s="7">
        <v>0.68159999999999998</v>
      </c>
      <c r="J16" s="7">
        <v>0.70079999999999998</v>
      </c>
      <c r="K16" s="7">
        <v>0.67720000000000002</v>
      </c>
      <c r="L16" s="7">
        <v>0.68359999999999999</v>
      </c>
      <c r="N16" s="2" t="s">
        <v>16</v>
      </c>
      <c r="O16" s="7">
        <v>16.631599999999999</v>
      </c>
      <c r="P16" s="7">
        <v>16.895800000000001</v>
      </c>
      <c r="Q16" s="7">
        <v>17.054500000000001</v>
      </c>
      <c r="R16" s="7">
        <v>17.028199999999998</v>
      </c>
      <c r="S16" s="7">
        <v>16.7546</v>
      </c>
      <c r="T16" s="7">
        <v>16.9377</v>
      </c>
      <c r="U16" s="7">
        <v>17.054500000000001</v>
      </c>
      <c r="V16" s="7">
        <v>16.916</v>
      </c>
      <c r="W16" s="7">
        <v>16.843699999999998</v>
      </c>
      <c r="X16" s="7">
        <v>17.021699999999999</v>
      </c>
    </row>
    <row r="17" spans="2:24" x14ac:dyDescent="0.25">
      <c r="B17" s="2" t="s">
        <v>17</v>
      </c>
      <c r="C17" s="7">
        <v>0.50470000000000004</v>
      </c>
      <c r="D17" s="7">
        <v>0.50480000000000003</v>
      </c>
      <c r="E17" s="7">
        <v>0.50529999999999997</v>
      </c>
      <c r="F17" s="7">
        <v>0.50829999999999997</v>
      </c>
      <c r="G17" s="7">
        <v>0.50539999999999996</v>
      </c>
      <c r="H17" s="7">
        <v>0.50529999999999997</v>
      </c>
      <c r="I17" s="7">
        <v>0.51180000000000003</v>
      </c>
      <c r="J17" s="7">
        <v>0.51129999999999998</v>
      </c>
      <c r="K17" s="7">
        <v>0.50819999999999999</v>
      </c>
      <c r="L17" s="7">
        <v>0.50800000000000001</v>
      </c>
      <c r="N17" s="2" t="s">
        <v>17</v>
      </c>
      <c r="O17" s="7">
        <v>11.842000000000001</v>
      </c>
      <c r="P17" s="7">
        <v>12.422800000000001</v>
      </c>
      <c r="Q17" s="7">
        <v>12.0562</v>
      </c>
      <c r="R17" s="7">
        <v>11.983499999999999</v>
      </c>
      <c r="S17" s="7">
        <v>12.0177</v>
      </c>
      <c r="T17" s="7">
        <v>11.9557</v>
      </c>
      <c r="U17" s="7">
        <v>12.2088</v>
      </c>
      <c r="V17" s="7">
        <v>12.6119</v>
      </c>
      <c r="W17" s="7">
        <v>12.0261</v>
      </c>
      <c r="X17" s="7">
        <v>12.4359</v>
      </c>
    </row>
    <row r="18" spans="2:24" x14ac:dyDescent="0.25">
      <c r="B18" s="2" t="s">
        <v>18</v>
      </c>
      <c r="C18" s="7">
        <v>1.0188999999999999</v>
      </c>
      <c r="D18" s="7">
        <v>1.0149999999999999</v>
      </c>
      <c r="E18" s="7">
        <v>1.0226999999999999</v>
      </c>
      <c r="F18" s="7">
        <v>1.0337000000000001</v>
      </c>
      <c r="G18" s="7">
        <v>1.0282</v>
      </c>
      <c r="H18" s="7">
        <v>1.0222</v>
      </c>
      <c r="I18" s="7">
        <v>1.0150999999999999</v>
      </c>
      <c r="J18" s="7">
        <v>1.0249999999999999</v>
      </c>
      <c r="K18" s="7">
        <v>1.1144000000000001</v>
      </c>
      <c r="L18" s="7">
        <v>1.3367</v>
      </c>
      <c r="N18" s="2" t="s">
        <v>18</v>
      </c>
      <c r="O18" s="7">
        <v>25.665500000000002</v>
      </c>
      <c r="P18" s="7">
        <v>25.500299999999999</v>
      </c>
      <c r="Q18" s="7">
        <v>25.6953</v>
      </c>
      <c r="R18" s="7">
        <v>25.7408</v>
      </c>
      <c r="S18" s="7">
        <v>25.3308</v>
      </c>
      <c r="T18" s="7">
        <v>25.752500000000001</v>
      </c>
      <c r="U18" s="7">
        <v>25.857199999999999</v>
      </c>
      <c r="V18" s="7">
        <v>26.359000000000002</v>
      </c>
      <c r="W18" s="7">
        <v>26.685199999999998</v>
      </c>
      <c r="X18" s="7">
        <v>26.0779</v>
      </c>
    </row>
    <row r="19" spans="2:24" x14ac:dyDescent="0.25">
      <c r="B19" s="2" t="s">
        <v>19</v>
      </c>
      <c r="C19" s="7">
        <v>4.2099999999999999E-2</v>
      </c>
      <c r="D19" s="7">
        <v>4.07E-2</v>
      </c>
      <c r="E19" s="7">
        <v>4.0800000000000003E-2</v>
      </c>
      <c r="F19" s="7">
        <v>4.07E-2</v>
      </c>
      <c r="G19" s="7">
        <v>4.0800000000000003E-2</v>
      </c>
      <c r="H19" s="7">
        <v>4.0899999999999999E-2</v>
      </c>
      <c r="I19" s="7">
        <v>4.0800000000000003E-2</v>
      </c>
      <c r="J19" s="7">
        <v>4.07E-2</v>
      </c>
      <c r="K19" s="7">
        <v>4.36E-2</v>
      </c>
      <c r="L19" s="7">
        <v>4.36E-2</v>
      </c>
      <c r="N19" s="2" t="s">
        <v>19</v>
      </c>
      <c r="O19" s="7">
        <v>0.2142</v>
      </c>
      <c r="P19" s="7">
        <v>0.21310000000000001</v>
      </c>
      <c r="Q19" s="7">
        <v>0.21249999999999999</v>
      </c>
      <c r="R19" s="7">
        <v>0.21049999999999999</v>
      </c>
      <c r="S19" s="7">
        <v>0.2051</v>
      </c>
      <c r="T19" s="7">
        <v>0.20499999999999999</v>
      </c>
      <c r="U19" s="7">
        <v>0.20960000000000001</v>
      </c>
      <c r="V19" s="7">
        <v>0.20519999999999999</v>
      </c>
      <c r="W19" s="7">
        <v>0.2054</v>
      </c>
      <c r="X19" s="7">
        <v>0.2049</v>
      </c>
    </row>
    <row r="20" spans="2:24" x14ac:dyDescent="0.25">
      <c r="B20" s="2" t="s">
        <v>20</v>
      </c>
      <c r="C20" s="7">
        <v>0.40749999999999997</v>
      </c>
      <c r="D20" s="7">
        <v>0.34620000000000001</v>
      </c>
      <c r="E20" s="7">
        <v>0.36399999999999999</v>
      </c>
      <c r="F20" s="7">
        <v>0.37919999999999998</v>
      </c>
      <c r="G20" s="7">
        <v>0.3805</v>
      </c>
      <c r="H20" s="7">
        <v>0.38290000000000002</v>
      </c>
      <c r="I20" s="7">
        <v>0.38290000000000002</v>
      </c>
      <c r="J20" s="7">
        <v>0.3831</v>
      </c>
      <c r="K20" s="7">
        <v>0.38059999999999999</v>
      </c>
      <c r="L20" s="7">
        <v>0.3805</v>
      </c>
      <c r="N20" s="2" t="s">
        <v>20</v>
      </c>
      <c r="O20" s="7">
        <v>9.3422999999999998</v>
      </c>
      <c r="P20" s="7">
        <v>9.5853999999999999</v>
      </c>
      <c r="Q20" s="7">
        <v>9.7826000000000004</v>
      </c>
      <c r="R20" s="7">
        <v>9.8247999999999998</v>
      </c>
      <c r="S20" s="7">
        <v>9.4528999999999996</v>
      </c>
      <c r="T20" s="7">
        <v>9.5140999999999991</v>
      </c>
      <c r="U20" s="7">
        <v>9.6502999999999997</v>
      </c>
      <c r="V20" s="7">
        <v>9.5998999999999999</v>
      </c>
      <c r="W20" s="7">
        <v>9.5877999999999997</v>
      </c>
      <c r="X20" s="7">
        <v>9.8443000000000005</v>
      </c>
    </row>
    <row r="21" spans="2:24" x14ac:dyDescent="0.25">
      <c r="B21" s="2" t="s">
        <v>21</v>
      </c>
      <c r="C21" s="8">
        <v>3.3700000000000001E-2</v>
      </c>
      <c r="D21" s="7">
        <v>3.2199999999999999E-2</v>
      </c>
      <c r="E21" s="7">
        <v>3.1399999999999997E-2</v>
      </c>
      <c r="F21" s="7">
        <v>3.2000000000000001E-2</v>
      </c>
      <c r="G21" s="7">
        <v>3.7600000000000001E-2</v>
      </c>
      <c r="H21" s="7">
        <v>2.87E-2</v>
      </c>
      <c r="I21" s="7">
        <v>2.8500000000000001E-2</v>
      </c>
      <c r="J21" s="7">
        <v>2.86E-2</v>
      </c>
      <c r="K21" s="7">
        <v>3.2300000000000002E-2</v>
      </c>
      <c r="L21" s="7">
        <v>2.8899999999999999E-2</v>
      </c>
      <c r="N21" s="2" t="s">
        <v>21</v>
      </c>
      <c r="O21" s="8">
        <v>0.16109999999999999</v>
      </c>
      <c r="P21" s="7">
        <v>0.1492</v>
      </c>
      <c r="Q21" s="7">
        <v>0.14779999999999999</v>
      </c>
      <c r="R21" s="7">
        <v>0.15279999999999999</v>
      </c>
      <c r="S21" s="7">
        <v>0.14979999999999999</v>
      </c>
      <c r="T21" s="7">
        <v>0.15010000000000001</v>
      </c>
      <c r="U21" s="7">
        <v>0.1537</v>
      </c>
      <c r="V21" s="7">
        <v>0.15459999999999999</v>
      </c>
      <c r="W21" s="7">
        <v>0.1555</v>
      </c>
      <c r="X21" s="7">
        <v>0.15040000000000001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67.933700000000002</v>
      </c>
      <c r="D26" s="7">
        <v>68.429599999999994</v>
      </c>
      <c r="E26" s="7">
        <v>67.293499999999995</v>
      </c>
      <c r="F26" s="7">
        <v>68.242000000000004</v>
      </c>
      <c r="G26" s="7">
        <v>67.575699999999998</v>
      </c>
      <c r="H26" s="7">
        <v>68.739000000000004</v>
      </c>
      <c r="I26" s="7">
        <v>67.739099999999993</v>
      </c>
      <c r="J26" s="7">
        <v>67.619500000000002</v>
      </c>
      <c r="K26" s="7">
        <v>67.644099999999995</v>
      </c>
      <c r="L26" s="7">
        <v>67.5976</v>
      </c>
      <c r="N26" s="2" t="s">
        <v>16</v>
      </c>
      <c r="O26" s="7">
        <v>1703.6822999999999</v>
      </c>
      <c r="P26" s="7">
        <v>1700.4722999999999</v>
      </c>
      <c r="Q26" s="7">
        <v>1702.8570999999999</v>
      </c>
      <c r="R26" s="7">
        <v>1703.1754000000001</v>
      </c>
      <c r="S26" s="7">
        <v>1701.4158</v>
      </c>
      <c r="T26" s="7">
        <v>1704.203</v>
      </c>
      <c r="U26" s="7">
        <v>1699.6523</v>
      </c>
      <c r="V26" s="7">
        <v>1698.0775000000001</v>
      </c>
      <c r="W26" s="7">
        <v>1708.38</v>
      </c>
      <c r="X26" s="7">
        <v>1708.3657000000001</v>
      </c>
    </row>
    <row r="27" spans="2:24" x14ac:dyDescent="0.25">
      <c r="B27" s="2" t="s">
        <v>17</v>
      </c>
      <c r="C27" s="7">
        <v>48.371899999999997</v>
      </c>
      <c r="D27" s="7">
        <v>48.268099999999997</v>
      </c>
      <c r="E27" s="7">
        <v>47.000900000000001</v>
      </c>
      <c r="F27" s="7">
        <v>48.863999999999997</v>
      </c>
      <c r="G27" s="7">
        <v>48.365499999999997</v>
      </c>
      <c r="H27" s="7">
        <v>48.226799999999997</v>
      </c>
      <c r="I27" s="7">
        <v>48.732500000000002</v>
      </c>
      <c r="J27" s="7">
        <v>48.401000000000003</v>
      </c>
      <c r="K27" s="7">
        <v>48.909300000000002</v>
      </c>
      <c r="L27" s="7">
        <v>49.071800000000003</v>
      </c>
      <c r="N27" s="2" t="s">
        <v>17</v>
      </c>
      <c r="O27" s="7">
        <v>1214.5501999999999</v>
      </c>
      <c r="P27" s="7">
        <v>1224.7465999999999</v>
      </c>
      <c r="Q27" s="7">
        <v>1215.5352</v>
      </c>
      <c r="R27" s="7">
        <v>1215.7969000000001</v>
      </c>
      <c r="S27" s="7">
        <v>1210.4492</v>
      </c>
      <c r="T27" s="7">
        <v>1214.7157999999999</v>
      </c>
      <c r="U27" s="7">
        <v>1209.5414000000001</v>
      </c>
      <c r="V27" s="7">
        <v>1211.8927000000001</v>
      </c>
      <c r="W27" s="7">
        <v>1216.9775</v>
      </c>
      <c r="X27" s="7">
        <v>1211.4746</v>
      </c>
    </row>
    <row r="28" spans="2:24" x14ac:dyDescent="0.25">
      <c r="B28" s="2" t="s">
        <v>18</v>
      </c>
      <c r="C28" s="7">
        <v>102.3861</v>
      </c>
      <c r="D28" s="7">
        <v>102.0432</v>
      </c>
      <c r="E28" s="7">
        <v>102.0585</v>
      </c>
      <c r="F28" s="7">
        <v>102.0401</v>
      </c>
      <c r="G28" s="7">
        <v>102.10680000000001</v>
      </c>
      <c r="H28" s="7">
        <v>102.4975</v>
      </c>
      <c r="I28" s="7">
        <v>102.7627</v>
      </c>
      <c r="J28" s="7">
        <v>102.17100000000001</v>
      </c>
      <c r="K28" s="7">
        <v>103.20529999999999</v>
      </c>
      <c r="L28" s="7">
        <v>102.02290000000001</v>
      </c>
      <c r="N28" s="2" t="s">
        <v>18</v>
      </c>
      <c r="O28" s="7">
        <v>2566.2633999999998</v>
      </c>
      <c r="P28" s="7">
        <v>2564.9863999999998</v>
      </c>
      <c r="Q28" s="7">
        <v>2566.6405</v>
      </c>
      <c r="R28" s="7">
        <v>2561.5810999999999</v>
      </c>
      <c r="S28" s="7">
        <v>2576.7689999999998</v>
      </c>
      <c r="T28" s="7">
        <v>2563.0985000000001</v>
      </c>
      <c r="U28" s="7">
        <v>2565.9958000000001</v>
      </c>
      <c r="V28" s="7">
        <v>2579.1403</v>
      </c>
      <c r="W28" s="7">
        <v>2564.8946999999998</v>
      </c>
      <c r="X28" s="7">
        <v>2566.3651</v>
      </c>
    </row>
    <row r="29" spans="2:24" x14ac:dyDescent="0.25">
      <c r="B29" s="2" t="s">
        <v>19</v>
      </c>
      <c r="C29" s="7">
        <v>0.45340000000000003</v>
      </c>
      <c r="D29" s="7">
        <v>0.45190000000000002</v>
      </c>
      <c r="E29" s="7">
        <v>0.44950000000000001</v>
      </c>
      <c r="F29" s="7">
        <v>0.4531</v>
      </c>
      <c r="G29" s="7">
        <v>0.45290000000000002</v>
      </c>
      <c r="H29" s="7">
        <v>0.46429999999999999</v>
      </c>
      <c r="I29" s="7">
        <v>0.4456</v>
      </c>
      <c r="J29" s="7">
        <v>0.44819999999999999</v>
      </c>
      <c r="K29" s="7">
        <v>0.44640000000000002</v>
      </c>
      <c r="L29" s="7">
        <v>0.44769999999999999</v>
      </c>
      <c r="N29" s="2" t="s">
        <v>19</v>
      </c>
      <c r="O29" s="7">
        <v>2.5148999999999999</v>
      </c>
      <c r="P29" s="7">
        <v>2.5270999999999999</v>
      </c>
      <c r="Q29" s="7">
        <v>2.5731000000000002</v>
      </c>
      <c r="R29" s="7">
        <v>2.5417999999999998</v>
      </c>
      <c r="S29" s="7">
        <v>2.8527999999999998</v>
      </c>
      <c r="T29" s="7">
        <v>2.5996000000000001</v>
      </c>
      <c r="U29" s="7">
        <v>2.4969999999999999</v>
      </c>
      <c r="V29" s="7">
        <v>2.5337999999999998</v>
      </c>
      <c r="W29" s="7">
        <v>2.5266999999999999</v>
      </c>
      <c r="X29" s="7">
        <v>2.5442</v>
      </c>
    </row>
    <row r="30" spans="2:24" x14ac:dyDescent="0.25">
      <c r="B30" s="2" t="s">
        <v>20</v>
      </c>
      <c r="C30" s="7">
        <v>38.004300000000001</v>
      </c>
      <c r="D30" s="7">
        <v>38.103999999999999</v>
      </c>
      <c r="E30" s="7">
        <v>38.091799999999999</v>
      </c>
      <c r="F30" s="7">
        <v>37.987900000000003</v>
      </c>
      <c r="G30" s="7">
        <v>37.7117</v>
      </c>
      <c r="H30" s="7">
        <v>37.970500000000001</v>
      </c>
      <c r="I30" s="7">
        <v>37.252099999999999</v>
      </c>
      <c r="J30" s="7">
        <v>37.818800000000003</v>
      </c>
      <c r="K30" s="7">
        <v>38.015799999999999</v>
      </c>
      <c r="L30" s="7">
        <v>37.974200000000003</v>
      </c>
      <c r="N30" s="2" t="s">
        <v>20</v>
      </c>
      <c r="O30" s="7">
        <v>941.83159999999998</v>
      </c>
      <c r="P30" s="7">
        <v>941.24249999999995</v>
      </c>
      <c r="Q30" s="7">
        <v>949.31079999999997</v>
      </c>
      <c r="R30" s="7">
        <v>942.15750000000003</v>
      </c>
      <c r="S30" s="7">
        <v>941.63829999999996</v>
      </c>
      <c r="T30" s="7">
        <v>945.69349999999997</v>
      </c>
      <c r="U30" s="7">
        <v>943.63009999999997</v>
      </c>
      <c r="V30" s="7">
        <v>943.80250000000001</v>
      </c>
      <c r="W30" s="7">
        <v>943.05520000000001</v>
      </c>
      <c r="X30" s="7">
        <v>941.34540000000004</v>
      </c>
    </row>
    <row r="31" spans="2:24" x14ac:dyDescent="0.25">
      <c r="B31" s="2" t="s">
        <v>21</v>
      </c>
      <c r="C31" s="8">
        <v>0.37480000000000002</v>
      </c>
      <c r="D31" s="7">
        <v>0.36249999999999999</v>
      </c>
      <c r="E31" s="7">
        <v>0.3629</v>
      </c>
      <c r="F31" s="7">
        <v>0.36120000000000002</v>
      </c>
      <c r="G31" s="7">
        <v>0.3579</v>
      </c>
      <c r="H31" s="7">
        <v>0.35709999999999997</v>
      </c>
      <c r="I31" s="7">
        <v>0.36330000000000001</v>
      </c>
      <c r="J31" s="7">
        <v>0.36549999999999999</v>
      </c>
      <c r="K31" s="7">
        <v>0.36159999999999998</v>
      </c>
      <c r="L31" s="7">
        <v>0.36059999999999998</v>
      </c>
      <c r="N31" s="2" t="s">
        <v>21</v>
      </c>
      <c r="O31" s="8">
        <v>2.0165999999999999</v>
      </c>
      <c r="P31" s="7">
        <v>2.0133999999999999</v>
      </c>
      <c r="Q31" s="7">
        <v>2.0234000000000001</v>
      </c>
      <c r="R31" s="7">
        <v>1.9847999999999999</v>
      </c>
      <c r="S31" s="7">
        <v>2.3378999999999999</v>
      </c>
      <c r="T31" s="7">
        <v>1.9461999999999999</v>
      </c>
      <c r="U31" s="7">
        <v>1.9322999999999999</v>
      </c>
      <c r="V31" s="7">
        <v>1.9685999999999999</v>
      </c>
      <c r="W31" s="7">
        <v>1.9550000000000001</v>
      </c>
      <c r="X31" s="7">
        <v>1.95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7.0875000000000009E-3</v>
      </c>
      <c r="D36" s="7">
        <f t="shared" ref="D36:D41" si="1">IF(COUNTBLANK(O6:X6)&gt;0,"undone",TRIMMEAN(O6:X6,2/COUNT(O6:X6)))</f>
        <v>0.17197499999999999</v>
      </c>
      <c r="E36" s="7">
        <f t="shared" ref="E36:E41" si="2">IF(COUNTBLANK(C16:L16)&gt;0,"undone",TRIMMEAN(C16:L16,2/COUNT(C16:L16)))</f>
        <v>0.68328750000000005</v>
      </c>
      <c r="F36" s="7">
        <f t="shared" ref="F36:F41" si="3">IF(COUNTBLANK(O16:X16)&gt;0,"undone",TRIMMEAN(O16:X16,2/COUNT(O16:X16)))</f>
        <v>16.931525000000001</v>
      </c>
      <c r="G36" s="7">
        <f t="shared" ref="G36:G41" si="4">IF(COUNTBLANK(C26:L26)&gt;0,"undone",TRIMMEAN(C26:L26,2/COUNT(C26:L26)))</f>
        <v>67.847662499999998</v>
      </c>
      <c r="H36" s="7">
        <f t="shared" ref="H36:H41" si="5">IF(COUNTBLANK(O26:X26)&gt;0,"undone",TRIMMEAN(O26:X26,2/COUNT(O26:X26)))</f>
        <v>1702.9779874999999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5.1624999999999996E-3</v>
      </c>
      <c r="D37" s="7">
        <f t="shared" si="1"/>
        <v>0.12125</v>
      </c>
      <c r="E37" s="7">
        <f t="shared" si="2"/>
        <v>0.50707499999999994</v>
      </c>
      <c r="F37" s="7">
        <f t="shared" si="3"/>
        <v>12.1383375</v>
      </c>
      <c r="G37" s="7">
        <f t="shared" si="4"/>
        <v>48.517387499999998</v>
      </c>
      <c r="H37" s="7">
        <f t="shared" si="5"/>
        <v>1213.9240124999999</v>
      </c>
    </row>
    <row r="38" spans="2:17" x14ac:dyDescent="0.25">
      <c r="B38" s="2" t="s">
        <v>18</v>
      </c>
      <c r="C38" s="7">
        <f t="shared" si="0"/>
        <v>1.1375E-2</v>
      </c>
      <c r="D38" s="7">
        <f t="shared" si="1"/>
        <v>0.26517499999999999</v>
      </c>
      <c r="E38" s="7">
        <f t="shared" si="2"/>
        <v>1.0350250000000001</v>
      </c>
      <c r="F38" s="7">
        <f t="shared" si="3"/>
        <v>25.831062500000002</v>
      </c>
      <c r="G38" s="7">
        <f t="shared" si="4"/>
        <v>102.25823750000001</v>
      </c>
      <c r="H38" s="7">
        <f t="shared" si="5"/>
        <v>2566.876675</v>
      </c>
    </row>
    <row r="39" spans="2:17" x14ac:dyDescent="0.25">
      <c r="B39" s="2" t="s">
        <v>19</v>
      </c>
      <c r="C39" s="7">
        <f t="shared" si="0"/>
        <v>2.7875E-3</v>
      </c>
      <c r="D39" s="7">
        <f t="shared" si="1"/>
        <v>1.6812499999999998E-2</v>
      </c>
      <c r="E39" s="7">
        <f t="shared" si="2"/>
        <v>4.1299999999999989E-2</v>
      </c>
      <c r="F39" s="7">
        <f t="shared" si="3"/>
        <v>0.20830000000000001</v>
      </c>
      <c r="G39" s="7">
        <f t="shared" si="4"/>
        <v>0.45038750000000005</v>
      </c>
      <c r="H39" s="7">
        <f t="shared" si="5"/>
        <v>2.54515</v>
      </c>
    </row>
    <row r="40" spans="2:17" x14ac:dyDescent="0.25">
      <c r="B40" s="2" t="s">
        <v>20</v>
      </c>
      <c r="C40" s="7">
        <f t="shared" si="0"/>
        <v>4.1749999999999999E-3</v>
      </c>
      <c r="D40" s="7">
        <f t="shared" si="1"/>
        <v>9.3112500000000001E-2</v>
      </c>
      <c r="E40" s="7">
        <f t="shared" si="2"/>
        <v>0.37921249999999995</v>
      </c>
      <c r="F40" s="7">
        <f t="shared" si="3"/>
        <v>9.6247250000000015</v>
      </c>
      <c r="G40" s="7">
        <f t="shared" si="4"/>
        <v>37.946875000000006</v>
      </c>
      <c r="H40" s="7">
        <f t="shared" si="5"/>
        <v>942.89426249999997</v>
      </c>
    </row>
    <row r="41" spans="2:17" x14ac:dyDescent="0.25">
      <c r="B41" s="2" t="s">
        <v>21</v>
      </c>
      <c r="C41" s="7">
        <f t="shared" si="0"/>
        <v>2.7125000000000005E-3</v>
      </c>
      <c r="D41" s="7">
        <f t="shared" si="1"/>
        <v>1.5162500000000001E-2</v>
      </c>
      <c r="E41" s="7">
        <f t="shared" si="2"/>
        <v>3.0974999999999999E-2</v>
      </c>
      <c r="F41" s="7">
        <f t="shared" si="3"/>
        <v>0.15201250000000002</v>
      </c>
      <c r="G41" s="7">
        <f t="shared" si="4"/>
        <v>0.36193750000000002</v>
      </c>
      <c r="H41" s="7">
        <f t="shared" si="5"/>
        <v>1.9822499999999998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2026-09-07T08:34:48Z</dcterms:modified>
</cp:coreProperties>
</file>