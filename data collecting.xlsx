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re\เอกสาร\GitHub\c-sorting-algorithm\"/>
    </mc:Choice>
  </mc:AlternateContent>
  <xr:revisionPtr revIDLastSave="0" documentId="13_ncr:1_{782A1B63-05B9-42D3-9BD3-1852764ACD01}" xr6:coauthVersionLast="47" xr6:coauthVersionMax="47" xr10:uidLastSave="{00000000-0000-0000-0000-000000000000}"/>
  <bookViews>
    <workbookView xWindow="-108" yWindow="-108" windowWidth="23256" windowHeight="12456" xr2:uid="{D32EC7AF-07E4-482F-A8FA-A097486C4469}"/>
  </bookViews>
  <sheets>
    <sheet name="Random" sheetId="1" r:id="rId1"/>
    <sheet name="random_grpah" sheetId="11" r:id="rId2"/>
    <sheet name="Sorted" sheetId="2" r:id="rId3"/>
    <sheet name="sorted_grpah " sheetId="12" r:id="rId4"/>
    <sheet name="Rev-Sorted" sheetId="3" r:id="rId5"/>
    <sheet name="rev_sorted_grpah 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6" i="3" l="1"/>
  <c r="P36" i="3"/>
  <c r="O36" i="3"/>
  <c r="N36" i="3"/>
  <c r="M36" i="3"/>
  <c r="L36" i="3"/>
  <c r="Q35" i="3"/>
  <c r="P35" i="3"/>
  <c r="O35" i="3"/>
  <c r="N35" i="3"/>
  <c r="M35" i="3"/>
  <c r="L35" i="3"/>
  <c r="Q34" i="3"/>
  <c r="P34" i="3"/>
  <c r="O34" i="3"/>
  <c r="N34" i="3"/>
  <c r="M34" i="3"/>
  <c r="L34" i="3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M36" i="1"/>
  <c r="N36" i="1"/>
  <c r="O36" i="1"/>
  <c r="P36" i="1"/>
  <c r="Q36" i="1"/>
  <c r="L36" i="1"/>
  <c r="M35" i="1"/>
  <c r="N35" i="1"/>
  <c r="O35" i="1"/>
  <c r="P35" i="1"/>
  <c r="Q35" i="1"/>
  <c r="L35" i="1"/>
  <c r="M34" i="1"/>
  <c r="N34" i="1"/>
  <c r="O34" i="1"/>
  <c r="P34" i="1"/>
  <c r="Q34" i="1"/>
  <c r="L34" i="1"/>
  <c r="O23" i="3"/>
  <c r="C23" i="3"/>
  <c r="O13" i="3"/>
  <c r="C13" i="3"/>
  <c r="O3" i="3"/>
  <c r="C3" i="3"/>
  <c r="H41" i="2"/>
  <c r="G41" i="2"/>
  <c r="F41" i="2"/>
  <c r="E41" i="2"/>
  <c r="D41" i="2"/>
  <c r="C41" i="2"/>
  <c r="H40" i="2"/>
  <c r="G40" i="2"/>
  <c r="F40" i="2"/>
  <c r="E40" i="2"/>
  <c r="D40" i="2"/>
  <c r="C40" i="2"/>
  <c r="H39" i="2"/>
  <c r="G39" i="2"/>
  <c r="F39" i="2"/>
  <c r="E39" i="2"/>
  <c r="D39" i="2"/>
  <c r="C39" i="2"/>
  <c r="H38" i="2"/>
  <c r="G38" i="2"/>
  <c r="F38" i="2"/>
  <c r="E38" i="2"/>
  <c r="D38" i="2"/>
  <c r="C38" i="2"/>
  <c r="H37" i="2"/>
  <c r="G37" i="2"/>
  <c r="F37" i="2"/>
  <c r="E37" i="2"/>
  <c r="D37" i="2"/>
  <c r="C37" i="2"/>
  <c r="H36" i="2"/>
  <c r="G36" i="2"/>
  <c r="F36" i="2"/>
  <c r="E36" i="2"/>
  <c r="D36" i="2"/>
  <c r="C36" i="2"/>
  <c r="O23" i="2"/>
  <c r="C23" i="2"/>
  <c r="O13" i="2"/>
  <c r="C13" i="2"/>
  <c r="O3" i="2"/>
  <c r="C3" i="2"/>
  <c r="H39" i="1"/>
  <c r="H41" i="1"/>
  <c r="G41" i="1"/>
  <c r="F41" i="1"/>
  <c r="E41" i="1"/>
  <c r="D41" i="1"/>
  <c r="C41" i="1"/>
  <c r="H40" i="1"/>
  <c r="G40" i="1"/>
  <c r="F40" i="1"/>
  <c r="E40" i="1"/>
  <c r="D40" i="1"/>
  <c r="C40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O23" i="1"/>
  <c r="C23" i="1"/>
  <c r="O13" i="1"/>
  <c r="C13" i="1"/>
  <c r="O3" i="1"/>
  <c r="C3" i="1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</calcChain>
</file>

<file path=xl/sharedStrings.xml><?xml version="1.0" encoding="utf-8"?>
<sst xmlns="http://schemas.openxmlformats.org/spreadsheetml/2006/main" count="384" uniqueCount="28">
  <si>
    <t>Random</t>
  </si>
  <si>
    <t>Sort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</si>
  <si>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</si>
  <si>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</si>
  <si>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</si>
  <si>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</si>
  <si>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</si>
  <si>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</si>
  <si>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</si>
  <si>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</si>
  <si>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</si>
  <si>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</si>
  <si>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Input size =</t>
  </si>
  <si>
    <t>Rev-Sorted</t>
  </si>
  <si>
    <t>Sorted</t>
  </si>
  <si>
    <t>Run time (ms)</t>
  </si>
  <si>
    <t>Insertion Sort</t>
  </si>
  <si>
    <t>Selection Sort</t>
  </si>
  <si>
    <t>Bubble Sort</t>
  </si>
  <si>
    <t>Merge Sort</t>
  </si>
  <si>
    <t>Quick Sort</t>
  </si>
  <si>
    <t>Random PivotQuick Sort</t>
  </si>
  <si>
    <t>Avg time (ms)</t>
  </si>
  <si>
    <t>ตารางเปรียบเทียบทฤษฎี</t>
  </si>
  <si>
    <t>เวลาเอารูปไปไม่ต้องเอาชื่อแผนภูมิไปนะ ไปตัดออก</t>
  </si>
  <si>
    <t>O(N)</t>
  </si>
  <si>
    <t>O(NlogN)</t>
  </si>
  <si>
    <t>O(N2)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</si>
</sst>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0"/>
    <numFmt numFmtId="188" formatCode="0.000"/>
  </numFmts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22"/>
      <color rgb="FFFF0000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5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188" fontId="0" fillId="0" borderId="3" xfId="0" applyNumberForma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Randon</a:t>
            </a:r>
            <a:r>
              <a:rPr lang="en-US" baseline="0">
                <a:solidFill>
                  <a:schemeClr val="tx1"/>
                </a:solidFill>
              </a:rPr>
              <a:t> insetion,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Random!$B$36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Random!$C$36:$H$36</c:f>
              <c:numCache>
                <c:formatCode>0.000</c:formatCode>
                <c:ptCount val="6"/>
                <c:pt idx="0">
                  <c:v>0.41299999999999998</c:v>
                </c:pt>
                <c:pt idx="1">
                  <c:v>8.8618500000000004</c:v>
                </c:pt>
                <c:pt idx="2">
                  <c:v>34.357725000000002</c:v>
                </c:pt>
                <c:pt idx="3">
                  <c:v>855.57960000000003</c:v>
                </c:pt>
                <c:pt idx="4">
                  <c:v>3419.2455375</c:v>
                </c:pt>
                <c:pt idx="5">
                  <c:v>13695.775949999999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Randon</a:t>
            </a:r>
            <a:r>
              <a:rPr lang="en-US" baseline="0">
                <a:solidFill>
                  <a:schemeClr val="tx1"/>
                </a:solidFill>
              </a:rPr>
              <a:t> selection,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Random!$B$37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Random!$C$37:$H$37</c:f>
              <c:numCache>
                <c:formatCode>0.000</c:formatCode>
                <c:ptCount val="6"/>
                <c:pt idx="0">
                  <c:v>0.47820000000000001</c:v>
                </c:pt>
                <c:pt idx="1">
                  <c:v>11.0277625</c:v>
                </c:pt>
                <c:pt idx="2">
                  <c:v>44.938124999999999</c:v>
                </c:pt>
                <c:pt idx="3">
                  <c:v>1085.3177500000002</c:v>
                </c:pt>
                <c:pt idx="4">
                  <c:v>4317.8100374999995</c:v>
                </c:pt>
                <c:pt idx="5">
                  <c:v>17245.76945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Randon</a:t>
            </a:r>
            <a:r>
              <a:rPr lang="en-US" baseline="0">
                <a:solidFill>
                  <a:schemeClr val="tx1"/>
                </a:solidFill>
              </a:rPr>
              <a:t> bubble,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Random!$B$38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Random!$C$38:$H$38</c:f>
              <c:numCache>
                <c:formatCode>0.000</c:formatCode>
                <c:ptCount val="6"/>
                <c:pt idx="0">
                  <c:v>0.83972499999999994</c:v>
                </c:pt>
                <c:pt idx="1">
                  <c:v>21.038600000000002</c:v>
                </c:pt>
                <c:pt idx="2">
                  <c:v>81.253350000000012</c:v>
                </c:pt>
                <c:pt idx="3">
                  <c:v>2005.4481500000002</c:v>
                </c:pt>
                <c:pt idx="4">
                  <c:v>8439.4316250000011</c:v>
                </c:pt>
                <c:pt idx="5">
                  <c:v>51670.898549999998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Randon</a:t>
            </a:r>
            <a:r>
              <a:rPr lang="en-US" baseline="0">
                <a:solidFill>
                  <a:schemeClr val="tx1"/>
                </a:solidFill>
              </a:rPr>
              <a:t> merge,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Random!$B$39</c:f>
              <c:strCache>
                <c:ptCount val="1"/>
                <c:pt idx="0">
                  <c:v>Merge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Random!$C$39:$H$39</c:f>
              <c:numCache>
                <c:formatCode>0.000</c:formatCode>
                <c:ptCount val="6"/>
                <c:pt idx="0">
                  <c:v>4.0387500000000007E-2</c:v>
                </c:pt>
                <c:pt idx="1">
                  <c:v>0.326625</c:v>
                </c:pt>
                <c:pt idx="2">
                  <c:v>0.78006249999999999</c:v>
                </c:pt>
                <c:pt idx="3">
                  <c:v>4.5922625000000004</c:v>
                </c:pt>
                <c:pt idx="4">
                  <c:v>9.7025749999999995</c:v>
                </c:pt>
                <c:pt idx="5">
                  <c:v>20.4595375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Randon</a:t>
            </a:r>
            <a:r>
              <a:rPr lang="en-US" baseline="0">
                <a:solidFill>
                  <a:schemeClr val="tx1"/>
                </a:solidFill>
              </a:rPr>
              <a:t> quick,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Random!$B$40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Random!$C$40:$H$40</c:f>
              <c:numCache>
                <c:formatCode>0.000</c:formatCode>
                <c:ptCount val="6"/>
                <c:pt idx="0">
                  <c:v>2.1337500000000002E-2</c:v>
                </c:pt>
                <c:pt idx="1">
                  <c:v>0.21843750000000001</c:v>
                </c:pt>
                <c:pt idx="2">
                  <c:v>0.5294875</c:v>
                </c:pt>
                <c:pt idx="3">
                  <c:v>3.0961125000000003</c:v>
                </c:pt>
                <c:pt idx="4">
                  <c:v>6.5601250000000002</c:v>
                </c:pt>
                <c:pt idx="5">
                  <c:v>13.89865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Randon</a:t>
            </a:r>
            <a:r>
              <a:rPr lang="en-US" baseline="0">
                <a:solidFill>
                  <a:schemeClr val="tx1"/>
                </a:solidFill>
              </a:rPr>
              <a:t> quick random pivot,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Random!$B$41</c:f>
              <c:strCache>
                <c:ptCount val="1"/>
                <c:pt idx="0">
                  <c:v>Random PivotQuick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Random!$C$41:$H$41</c:f>
              <c:numCache>
                <c:formatCode>0.000</c:formatCode>
                <c:ptCount val="6"/>
                <c:pt idx="0">
                  <c:v>5.20375E-2</c:v>
                </c:pt>
                <c:pt idx="1">
                  <c:v>0.28915000000000002</c:v>
                </c:pt>
                <c:pt idx="2">
                  <c:v>0.62286249999999999</c:v>
                </c:pt>
                <c:pt idx="3">
                  <c:v>3.5470000000000002</c:v>
                </c:pt>
                <c:pt idx="4">
                  <c:v>7.4617375000000008</c:v>
                </c:pt>
                <c:pt idx="5">
                  <c:v>15.6584375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C0-4C12-B1F0-72363D10A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h-TH" sz="1200">
                <a:solidFill>
                  <a:sysClr val="windowText" lastClr="000000"/>
                </a:solidFill>
              </a:rPr>
              <a:t>กราฟแสดงความสัมพัทธ์ระหว่าง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เวลาในการเรียงข้อมูล 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(ms) </a:t>
            </a:r>
            <a:r>
              <a:rPr lang="th-TH" sz="1200" baseline="0">
                <a:solidFill>
                  <a:sysClr val="windowText" lastClr="000000"/>
                </a:solidFill>
              </a:rPr>
              <a:t>และ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จำนวนข้อมูล (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n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สำหรับข้อมูลที่เรียงแบบสุ่ม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endParaRPr lang="th-TH" sz="1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Insetion Sort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Random!$C$36:$H$36</c:f>
              <c:numCache>
                <c:formatCode>0.000</c:formatCode>
                <c:ptCount val="6"/>
                <c:pt idx="0">
                  <c:v>0.41299999999999998</c:v>
                </c:pt>
                <c:pt idx="1">
                  <c:v>8.8618500000000004</c:v>
                </c:pt>
                <c:pt idx="2">
                  <c:v>34.357725000000002</c:v>
                </c:pt>
                <c:pt idx="3">
                  <c:v>855.57960000000003</c:v>
                </c:pt>
                <c:pt idx="4">
                  <c:v>3419.2455375</c:v>
                </c:pt>
                <c:pt idx="5">
                  <c:v>13695.775949999999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8-4445-A77D-2318717F7F6A}"/>
            </c:ext>
          </c:extLst>
        </c:ser>
        <c:ser>
          <c:idx val="1"/>
          <c:order val="1"/>
          <c:tx>
            <c:v>Selection Sort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Random!$C$37:$H$37</c:f>
              <c:numCache>
                <c:formatCode>0.000</c:formatCode>
                <c:ptCount val="6"/>
                <c:pt idx="0">
                  <c:v>0.47820000000000001</c:v>
                </c:pt>
                <c:pt idx="1">
                  <c:v>11.0277625</c:v>
                </c:pt>
                <c:pt idx="2">
                  <c:v>44.938124999999999</c:v>
                </c:pt>
                <c:pt idx="3">
                  <c:v>1085.3177500000002</c:v>
                </c:pt>
                <c:pt idx="4">
                  <c:v>4317.8100374999995</c:v>
                </c:pt>
                <c:pt idx="5">
                  <c:v>17245.76945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8-4445-A77D-2318717F7F6A}"/>
            </c:ext>
          </c:extLst>
        </c:ser>
        <c:ser>
          <c:idx val="2"/>
          <c:order val="2"/>
          <c:tx>
            <c:v>Bubble Sort</c:v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Random!$C$38:$H$38</c:f>
              <c:numCache>
                <c:formatCode>0.000</c:formatCode>
                <c:ptCount val="6"/>
                <c:pt idx="0">
                  <c:v>0.83972499999999994</c:v>
                </c:pt>
                <c:pt idx="1">
                  <c:v>21.038600000000002</c:v>
                </c:pt>
                <c:pt idx="2">
                  <c:v>81.253350000000012</c:v>
                </c:pt>
                <c:pt idx="3">
                  <c:v>2005.4481500000002</c:v>
                </c:pt>
                <c:pt idx="4">
                  <c:v>8439.4316250000011</c:v>
                </c:pt>
                <c:pt idx="5">
                  <c:v>51670.898549999998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8-4445-A77D-2318717F7F6A}"/>
            </c:ext>
          </c:extLst>
        </c:ser>
        <c:ser>
          <c:idx val="3"/>
          <c:order val="3"/>
          <c:tx>
            <c:v>Merge Sort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Random!$C$39:$H$39</c:f>
              <c:numCache>
                <c:formatCode>0.000</c:formatCode>
                <c:ptCount val="6"/>
                <c:pt idx="0">
                  <c:v>4.0387500000000007E-2</c:v>
                </c:pt>
                <c:pt idx="1">
                  <c:v>0.326625</c:v>
                </c:pt>
                <c:pt idx="2">
                  <c:v>0.78006249999999999</c:v>
                </c:pt>
                <c:pt idx="3">
                  <c:v>4.5922625000000004</c:v>
                </c:pt>
                <c:pt idx="4">
                  <c:v>9.7025749999999995</c:v>
                </c:pt>
                <c:pt idx="5">
                  <c:v>20.4595375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8-4445-A77D-2318717F7F6A}"/>
            </c:ext>
          </c:extLst>
        </c:ser>
        <c:ser>
          <c:idx val="4"/>
          <c:order val="4"/>
          <c:tx>
            <c:v>Quick Sort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Random!$C$40:$H$40</c:f>
              <c:numCache>
                <c:formatCode>0.000</c:formatCode>
                <c:ptCount val="6"/>
                <c:pt idx="0">
                  <c:v>2.1337500000000002E-2</c:v>
                </c:pt>
                <c:pt idx="1">
                  <c:v>0.21843750000000001</c:v>
                </c:pt>
                <c:pt idx="2">
                  <c:v>0.5294875</c:v>
                </c:pt>
                <c:pt idx="3">
                  <c:v>3.0961125000000003</c:v>
                </c:pt>
                <c:pt idx="4">
                  <c:v>6.5601250000000002</c:v>
                </c:pt>
                <c:pt idx="5">
                  <c:v>13.89865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88-4445-A77D-2318717F7F6A}"/>
            </c:ext>
          </c:extLst>
        </c:ser>
        <c:ser>
          <c:idx val="5"/>
          <c:order val="5"/>
          <c:tx>
            <c:v>Random Pivot Quick Sort</c:v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Random!$C$41:$H$41</c:f>
              <c:numCache>
                <c:formatCode>0.000</c:formatCode>
                <c:ptCount val="6"/>
                <c:pt idx="0">
                  <c:v>5.20375E-2</c:v>
                </c:pt>
                <c:pt idx="1">
                  <c:v>0.28915000000000002</c:v>
                </c:pt>
                <c:pt idx="2">
                  <c:v>0.62286249999999999</c:v>
                </c:pt>
                <c:pt idx="3">
                  <c:v>3.5470000000000002</c:v>
                </c:pt>
                <c:pt idx="4">
                  <c:v>7.4617375000000008</c:v>
                </c:pt>
                <c:pt idx="5">
                  <c:v>15.6584375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88-4445-A77D-2318717F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90623"/>
        <c:axId val="685575535"/>
      </c:scatterChart>
      <c:valAx>
        <c:axId val="684990623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>
                    <a:solidFill>
                      <a:sysClr val="windowText" lastClr="000000"/>
                    </a:solidFill>
                  </a:rPr>
                  <a:t>จำนวนข้อมูล</a:t>
                </a:r>
                <a:r>
                  <a:rPr lang="th-TH" sz="12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397993873062349"/>
              <c:y val="0.94654614613202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5575535"/>
        <c:crossesAt val="1.0000000000000002E-3"/>
        <c:crossBetween val="midCat"/>
      </c:valAx>
      <c:valAx>
        <c:axId val="685575535"/>
        <c:scaling>
          <c:logBase val="10"/>
          <c:orientation val="minMax"/>
          <c:min val="1.0000000000000002E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>
                    <a:solidFill>
                      <a:sysClr val="windowText" lastClr="000000"/>
                    </a:solidFill>
                  </a:rPr>
                  <a:t>เวลา</a:t>
                </a:r>
                <a:r>
                  <a:rPr lang="th-TH" sz="12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(ms</a:t>
                </a:r>
                <a:r>
                  <a:rPr lang="th-TH" sz="1200" b="0" i="0" u="none" strike="noStrike" baseline="0"/>
                  <a:t>, log scale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)</a:t>
                </a:r>
                <a:endParaRPr lang="th-TH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499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sorted</a:t>
            </a:r>
            <a:r>
              <a:rPr lang="en-US" baseline="0">
                <a:solidFill>
                  <a:schemeClr val="tx1"/>
                </a:solidFill>
              </a:rPr>
              <a:t> insetion, best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Sorted!$B$36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Sorted!$C$36:$H$36</c:f>
              <c:numCache>
                <c:formatCode>0.000</c:formatCode>
                <c:ptCount val="6"/>
                <c:pt idx="0">
                  <c:v>1.4999999999999998E-3</c:v>
                </c:pt>
                <c:pt idx="1">
                  <c:v>8.2625000000000007E-3</c:v>
                </c:pt>
                <c:pt idx="2">
                  <c:v>1.4450000000000003E-2</c:v>
                </c:pt>
                <c:pt idx="3">
                  <c:v>7.607499999999999E-2</c:v>
                </c:pt>
                <c:pt idx="4">
                  <c:v>0.15033750000000001</c:v>
                </c:pt>
                <c:pt idx="5">
                  <c:v>0.32151250000000009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9-4040-97FC-65007A317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Sorted!$K$34</c:f>
              <c:strCache>
                <c:ptCount val="1"/>
                <c:pt idx="0">
                  <c:v>O(N)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Sorted!$L$34:$Q$34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09-4040-97FC-65007A317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sorted selection, best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Sorted!$B$37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Sorted!$C$37:$H$37</c:f>
              <c:numCache>
                <c:formatCode>0.000</c:formatCode>
                <c:ptCount val="6"/>
                <c:pt idx="0">
                  <c:v>0.43456250000000002</c:v>
                </c:pt>
                <c:pt idx="1">
                  <c:v>10.809674999999999</c:v>
                </c:pt>
                <c:pt idx="2">
                  <c:v>43.120999999999995</c:v>
                </c:pt>
                <c:pt idx="3">
                  <c:v>1076.2408500000001</c:v>
                </c:pt>
                <c:pt idx="4">
                  <c:v>4311.1544499999991</c:v>
                </c:pt>
                <c:pt idx="5">
                  <c:v>17238.457187499997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7-4B67-A34A-56BA1411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Sorted!$K$35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7-4B67-A34A-56BA1411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sorted</a:t>
            </a:r>
            <a:r>
              <a:rPr lang="en-US" baseline="0">
                <a:solidFill>
                  <a:schemeClr val="tx1"/>
                </a:solidFill>
              </a:rPr>
              <a:t> bubble,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Sorted!$B$38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Sorted!$C$38:$H$38</c:f>
              <c:numCache>
                <c:formatCode>0.000</c:formatCode>
                <c:ptCount val="6"/>
                <c:pt idx="0">
                  <c:v>0.50743749999999999</c:v>
                </c:pt>
                <c:pt idx="1">
                  <c:v>12.501125</c:v>
                </c:pt>
                <c:pt idx="2">
                  <c:v>50.046925000000002</c:v>
                </c:pt>
                <c:pt idx="3">
                  <c:v>1256.7239</c:v>
                </c:pt>
                <c:pt idx="4">
                  <c:v>5022.3410624999997</c:v>
                </c:pt>
                <c:pt idx="5">
                  <c:v>20124.641912499999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A-4088-8A08-732811A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Sorted!$K$35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A-4088-8A08-732811A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sorted</a:t>
            </a:r>
            <a:r>
              <a:rPr lang="en-US" baseline="0">
                <a:solidFill>
                  <a:schemeClr val="tx1"/>
                </a:solidFill>
              </a:rPr>
              <a:t> merge, best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Sorted!$B$39</c:f>
              <c:strCache>
                <c:ptCount val="1"/>
                <c:pt idx="0">
                  <c:v>Merge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Sorted!$C$39:$H$39</c:f>
              <c:numCache>
                <c:formatCode>0.000</c:formatCode>
                <c:ptCount val="6"/>
                <c:pt idx="0">
                  <c:v>3.4737500000000004E-2</c:v>
                </c:pt>
                <c:pt idx="1">
                  <c:v>0.20858750000000001</c:v>
                </c:pt>
                <c:pt idx="2">
                  <c:v>0.43764999999999998</c:v>
                </c:pt>
                <c:pt idx="3">
                  <c:v>2.5086874999999997</c:v>
                </c:pt>
                <c:pt idx="4">
                  <c:v>5.4779750000000007</c:v>
                </c:pt>
                <c:pt idx="5">
                  <c:v>11.125774999999997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D-4ABE-A87B-41424A525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Sorted!$K$36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BD-4ABE-A87B-41424A525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sorted</a:t>
            </a:r>
            <a:r>
              <a:rPr lang="en-US" baseline="0">
                <a:solidFill>
                  <a:schemeClr val="tx1"/>
                </a:solidFill>
              </a:rPr>
              <a:t> quick, worst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Sorted!$B$40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Sorted!$C$40:$H$40</c:f>
              <c:numCache>
                <c:formatCode>0.000</c:formatCode>
                <c:ptCount val="6"/>
                <c:pt idx="0">
                  <c:v>0.39574999999999999</c:v>
                </c:pt>
                <c:pt idx="1">
                  <c:v>9.5529750000000018</c:v>
                </c:pt>
                <c:pt idx="2">
                  <c:v>38.113225</c:v>
                </c:pt>
                <c:pt idx="3">
                  <c:v>950.36601250000001</c:v>
                </c:pt>
                <c:pt idx="4">
                  <c:v>3793.4114</c:v>
                </c:pt>
                <c:pt idx="5">
                  <c:v>15107.042975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D-4CB0-9925-4BBD6462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Sorted!$K$35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BD-4CB0-9925-4BBD6462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sorted</a:t>
            </a:r>
            <a:r>
              <a:rPr lang="en-US" baseline="0">
                <a:solidFill>
                  <a:schemeClr val="tx1"/>
                </a:solidFill>
              </a:rPr>
              <a:t> quick random pivot,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Sorted!$B$41</c:f>
              <c:strCache>
                <c:ptCount val="1"/>
                <c:pt idx="0">
                  <c:v>Random PivotQuick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Sorted!$C$41:$H$41</c:f>
              <c:numCache>
                <c:formatCode>0.000</c:formatCode>
                <c:ptCount val="6"/>
                <c:pt idx="0">
                  <c:v>2.6525E-2</c:v>
                </c:pt>
                <c:pt idx="1">
                  <c:v>0.13981250000000001</c:v>
                </c:pt>
                <c:pt idx="2">
                  <c:v>0.29772500000000002</c:v>
                </c:pt>
                <c:pt idx="3">
                  <c:v>1.5552124999999999</c:v>
                </c:pt>
                <c:pt idx="4">
                  <c:v>3.2523</c:v>
                </c:pt>
                <c:pt idx="5">
                  <c:v>7.1357749999999998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9-4DAF-8F88-97526E839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Sorted!$K$36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9-4DAF-8F88-97526E839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กราฟแสดงความสัมพัทธ์ระหว่างเวลาในการเรียงข้อมูล 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(ms) 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และจำนวนข้อมูล (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n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สำหรับข้อมูลที่เรียงจากน้อยไปมาก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endParaRPr lang="th-TH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Insertion Sort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Sorted!$C$36:$H$36</c:f>
              <c:numCache>
                <c:formatCode>0.000</c:formatCode>
                <c:ptCount val="6"/>
                <c:pt idx="0">
                  <c:v>1.4999999999999998E-3</c:v>
                </c:pt>
                <c:pt idx="1">
                  <c:v>8.2625000000000007E-3</c:v>
                </c:pt>
                <c:pt idx="2">
                  <c:v>1.4450000000000003E-2</c:v>
                </c:pt>
                <c:pt idx="3">
                  <c:v>7.607499999999999E-2</c:v>
                </c:pt>
                <c:pt idx="4">
                  <c:v>0.15033750000000001</c:v>
                </c:pt>
                <c:pt idx="5">
                  <c:v>0.32151250000000009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8-43A4-B9AF-65E6AD936987}"/>
            </c:ext>
          </c:extLst>
        </c:ser>
        <c:ser>
          <c:idx val="1"/>
          <c:order val="1"/>
          <c:tx>
            <c:v>Selection Sort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Sorted!$C$37:$H$37</c:f>
              <c:numCache>
                <c:formatCode>0.000</c:formatCode>
                <c:ptCount val="6"/>
                <c:pt idx="0">
                  <c:v>0.43456250000000002</c:v>
                </c:pt>
                <c:pt idx="1">
                  <c:v>10.809674999999999</c:v>
                </c:pt>
                <c:pt idx="2">
                  <c:v>43.120999999999995</c:v>
                </c:pt>
                <c:pt idx="3">
                  <c:v>1076.2408500000001</c:v>
                </c:pt>
                <c:pt idx="4">
                  <c:v>4311.1544499999991</c:v>
                </c:pt>
                <c:pt idx="5">
                  <c:v>17238.457187499997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98-43A4-B9AF-65E6AD936987}"/>
            </c:ext>
          </c:extLst>
        </c:ser>
        <c:ser>
          <c:idx val="2"/>
          <c:order val="2"/>
          <c:tx>
            <c:v>Bubble Sort</c:v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Sorted!$C$38:$H$38</c:f>
              <c:numCache>
                <c:formatCode>0.000</c:formatCode>
                <c:ptCount val="6"/>
                <c:pt idx="0">
                  <c:v>0.50743749999999999</c:v>
                </c:pt>
                <c:pt idx="1">
                  <c:v>12.501125</c:v>
                </c:pt>
                <c:pt idx="2">
                  <c:v>50.046925000000002</c:v>
                </c:pt>
                <c:pt idx="3">
                  <c:v>1256.7239</c:v>
                </c:pt>
                <c:pt idx="4">
                  <c:v>5022.3410624999997</c:v>
                </c:pt>
                <c:pt idx="5">
                  <c:v>20124.641912499999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98-43A4-B9AF-65E6AD936987}"/>
            </c:ext>
          </c:extLst>
        </c:ser>
        <c:ser>
          <c:idx val="3"/>
          <c:order val="3"/>
          <c:tx>
            <c:v>Merge Sort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Sorted!$C$39:$H$39</c:f>
              <c:numCache>
                <c:formatCode>0.000</c:formatCode>
                <c:ptCount val="6"/>
                <c:pt idx="0">
                  <c:v>3.4737500000000004E-2</c:v>
                </c:pt>
                <c:pt idx="1">
                  <c:v>0.20858750000000001</c:v>
                </c:pt>
                <c:pt idx="2">
                  <c:v>0.43764999999999998</c:v>
                </c:pt>
                <c:pt idx="3">
                  <c:v>2.5086874999999997</c:v>
                </c:pt>
                <c:pt idx="4">
                  <c:v>5.4779750000000007</c:v>
                </c:pt>
                <c:pt idx="5">
                  <c:v>11.125774999999997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98-43A4-B9AF-65E6AD936987}"/>
            </c:ext>
          </c:extLst>
        </c:ser>
        <c:ser>
          <c:idx val="4"/>
          <c:order val="4"/>
          <c:tx>
            <c:v>Quick Sort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Sorted!$C$40:$H$40</c:f>
              <c:numCache>
                <c:formatCode>0.000</c:formatCode>
                <c:ptCount val="6"/>
                <c:pt idx="0">
                  <c:v>0.39574999999999999</c:v>
                </c:pt>
                <c:pt idx="1">
                  <c:v>9.5529750000000018</c:v>
                </c:pt>
                <c:pt idx="2">
                  <c:v>38.113225</c:v>
                </c:pt>
                <c:pt idx="3">
                  <c:v>950.36601250000001</c:v>
                </c:pt>
                <c:pt idx="4">
                  <c:v>3793.4114</c:v>
                </c:pt>
                <c:pt idx="5">
                  <c:v>15107.042975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98-43A4-B9AF-65E6AD936987}"/>
            </c:ext>
          </c:extLst>
        </c:ser>
        <c:ser>
          <c:idx val="5"/>
          <c:order val="5"/>
          <c:tx>
            <c:v>Random Pivot Quick Sort</c:v>
          </c:tx>
          <c:spPr>
            <a:ln w="19050" cap="rnd" cmpd="sng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Sorted!$C$35:$H$35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Sorted!$C$41:$H$41</c:f>
              <c:numCache>
                <c:formatCode>0.000</c:formatCode>
                <c:ptCount val="6"/>
                <c:pt idx="0">
                  <c:v>2.6525E-2</c:v>
                </c:pt>
                <c:pt idx="1">
                  <c:v>0.13981250000000001</c:v>
                </c:pt>
                <c:pt idx="2">
                  <c:v>0.29772500000000002</c:v>
                </c:pt>
                <c:pt idx="3">
                  <c:v>1.5552124999999999</c:v>
                </c:pt>
                <c:pt idx="4">
                  <c:v>3.2523</c:v>
                </c:pt>
                <c:pt idx="5">
                  <c:v>7.1357749999999998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98-43A4-B9AF-65E6AD936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90623"/>
        <c:axId val="685575535"/>
      </c:scatterChart>
      <c:valAx>
        <c:axId val="684990623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304243889883061"/>
              <c:y val="0.94654614613202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5575535"/>
        <c:crossesAt val="1.0000000000000002E-3"/>
        <c:crossBetween val="midCat"/>
      </c:valAx>
      <c:valAx>
        <c:axId val="685575535"/>
        <c:scaling>
          <c:logBase val="10"/>
          <c:orientation val="minMax"/>
          <c:min val="1.0000000000000002E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>
                    <a:solidFill>
                      <a:sysClr val="windowText" lastClr="000000"/>
                    </a:solidFill>
                  </a:rPr>
                  <a:t>เวลา</a:t>
                </a:r>
                <a:r>
                  <a:rPr lang="th-TH" sz="12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(ms</a:t>
                </a:r>
                <a:r>
                  <a:rPr lang="th-TH" sz="1200" b="0" i="0" u="none" strike="noStrike" baseline="0"/>
                  <a:t>, log scale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)</a:t>
                </a:r>
                <a:endParaRPr lang="th-TH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499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rev-sorted</a:t>
            </a:r>
            <a:r>
              <a:rPr lang="en-US" baseline="0">
                <a:solidFill>
                  <a:schemeClr val="tx1"/>
                </a:solidFill>
              </a:rPr>
              <a:t> insetion, worst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'Rev-Sorted'!$B$36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'Rev-Sorted'!$C$36:$H$36</c:f>
              <c:numCache>
                <c:formatCode>0.000</c:formatCode>
                <c:ptCount val="6"/>
                <c:pt idx="0">
                  <c:v>0.6886000000000001</c:v>
                </c:pt>
                <c:pt idx="1">
                  <c:v>17.181287500000003</c:v>
                </c:pt>
                <c:pt idx="2">
                  <c:v>68.065174999999996</c:v>
                </c:pt>
                <c:pt idx="3">
                  <c:v>1705.1829875000003</c:v>
                </c:pt>
                <c:pt idx="4">
                  <c:v>6838.0707000000002</c:v>
                </c:pt>
                <c:pt idx="5">
                  <c:v>27345.028324999999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4-4964-BD9A-29EAD9DD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'Rev-Sorted'!$K$35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4-4964-BD9A-29EAD9DD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rev-sort</a:t>
            </a:r>
            <a:r>
              <a:rPr lang="en-US" baseline="0">
                <a:solidFill>
                  <a:schemeClr val="tx1"/>
                </a:solidFill>
              </a:rPr>
              <a:t> selection, worst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'Rev-Sorted'!$B$37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'Rev-Sorted'!$C$37:$H$37</c:f>
              <c:numCache>
                <c:formatCode>0.000</c:formatCode>
                <c:ptCount val="6"/>
                <c:pt idx="0">
                  <c:v>0.47663749999999994</c:v>
                </c:pt>
                <c:pt idx="1">
                  <c:v>12.096499999999999</c:v>
                </c:pt>
                <c:pt idx="2">
                  <c:v>48.477149999999995</c:v>
                </c:pt>
                <c:pt idx="3">
                  <c:v>1199.2007250000001</c:v>
                </c:pt>
                <c:pt idx="4">
                  <c:v>4812.6853375000001</c:v>
                </c:pt>
                <c:pt idx="5">
                  <c:v>19223.759062499998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7-43B8-9892-95138D110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'Rev-Sorted'!$K$35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C7-43B8-9892-95138D110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rev-sorst</a:t>
            </a:r>
            <a:r>
              <a:rPr lang="en-US" baseline="0">
                <a:solidFill>
                  <a:schemeClr val="tx1"/>
                </a:solidFill>
              </a:rPr>
              <a:t> bubble, worst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'Rev-Sorted'!$B$38</c:f>
              <c:strCache>
                <c:ptCount val="1"/>
                <c:pt idx="0">
                  <c:v>Bubble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'Rev-Sorted'!$C$38:$H$38</c:f>
              <c:numCache>
                <c:formatCode>0.000</c:formatCode>
                <c:ptCount val="6"/>
                <c:pt idx="0">
                  <c:v>1.0025249999999999</c:v>
                </c:pt>
                <c:pt idx="1">
                  <c:v>26.357112499999999</c:v>
                </c:pt>
                <c:pt idx="2">
                  <c:v>102.8498125</c:v>
                </c:pt>
                <c:pt idx="3">
                  <c:v>2572.6449124999999</c:v>
                </c:pt>
                <c:pt idx="4">
                  <c:v>10314.138025</c:v>
                </c:pt>
                <c:pt idx="5">
                  <c:v>41272.065625000003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C-4321-8320-31EFE0616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Random!$K$35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Random!$C$35:$H$35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Random!$L$35:$Q$35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BC-4321-8320-31EFE0616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rev-sorted</a:t>
            </a:r>
            <a:r>
              <a:rPr lang="en-US" baseline="0">
                <a:solidFill>
                  <a:schemeClr val="tx1"/>
                </a:solidFill>
              </a:rPr>
              <a:t> merge, worst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'Rev-Sorted'!$B$39</c:f>
              <c:strCache>
                <c:ptCount val="1"/>
                <c:pt idx="0">
                  <c:v>Merge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'Rev-Sorted'!$C$39:$H$39</c:f>
              <c:numCache>
                <c:formatCode>0.000</c:formatCode>
                <c:ptCount val="6"/>
                <c:pt idx="0">
                  <c:v>3.5649999999999994E-2</c:v>
                </c:pt>
                <c:pt idx="1">
                  <c:v>0.24495000000000003</c:v>
                </c:pt>
                <c:pt idx="2">
                  <c:v>0.45091250000000005</c:v>
                </c:pt>
                <c:pt idx="3">
                  <c:v>2.5379874999999998</c:v>
                </c:pt>
                <c:pt idx="4">
                  <c:v>5.4271000000000003</c:v>
                </c:pt>
                <c:pt idx="5">
                  <c:v>11.3372625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0-4650-B557-20AD4CEF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'Rev-Sorted'!$K$36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0-4650-B557-20AD4CEF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rev-sort</a:t>
            </a:r>
            <a:r>
              <a:rPr lang="en-US" baseline="0">
                <a:solidFill>
                  <a:schemeClr val="tx1"/>
                </a:solidFill>
              </a:rPr>
              <a:t> quick, worst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Random!$B$40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'Rev-Sorted'!$C$40:$H$40</c:f>
              <c:numCache>
                <c:formatCode>0.000</c:formatCode>
                <c:ptCount val="6"/>
                <c:pt idx="0">
                  <c:v>0.38613750000000002</c:v>
                </c:pt>
                <c:pt idx="1">
                  <c:v>9.6222500000000011</c:v>
                </c:pt>
                <c:pt idx="2">
                  <c:v>38.272924999999994</c:v>
                </c:pt>
                <c:pt idx="3">
                  <c:v>946.50459999999998</c:v>
                </c:pt>
                <c:pt idx="4">
                  <c:v>3768.8622124999993</c:v>
                </c:pt>
                <c:pt idx="5">
                  <c:v>15197.709837500002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4-434F-BAC4-1810BB67B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'Rev-Sorted'!$K$35</c:f>
              <c:strCache>
                <c:ptCount val="1"/>
                <c:pt idx="0">
                  <c:v>O(N2)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'Rev-Sorted'!$L$35:$Q$35</c:f>
              <c:numCache>
                <c:formatCode>General</c:formatCode>
                <c:ptCount val="6"/>
                <c:pt idx="0">
                  <c:v>1000000</c:v>
                </c:pt>
                <c:pt idx="1">
                  <c:v>25000000</c:v>
                </c:pt>
                <c:pt idx="2">
                  <c:v>100000000</c:v>
                </c:pt>
                <c:pt idx="3">
                  <c:v>2500000000</c:v>
                </c:pt>
                <c:pt idx="4">
                  <c:v>10000000000</c:v>
                </c:pt>
                <c:pt idx="5">
                  <c:v>40000000000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D4-434F-BAC4-1810BB67B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rev-sort quick random pivot, avg case</a:t>
            </a:r>
            <a:endParaRPr lang="th-TH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'Rev-Sorted'!$B$41</c:f>
              <c:strCache>
                <c:ptCount val="1"/>
                <c:pt idx="0">
                  <c:v>Random PivotQuick 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'Rev-Sorted'!$C$41:$H$41</c:f>
              <c:numCache>
                <c:formatCode>0.000</c:formatCode>
                <c:ptCount val="6"/>
                <c:pt idx="0">
                  <c:v>2.7449999999999999E-2</c:v>
                </c:pt>
                <c:pt idx="1">
                  <c:v>0.15161249999999998</c:v>
                </c:pt>
                <c:pt idx="2">
                  <c:v>0.31336249999999999</c:v>
                </c:pt>
                <c:pt idx="3">
                  <c:v>1.6390499999999999</c:v>
                </c:pt>
                <c:pt idx="4">
                  <c:v>3.5280375000000004</c:v>
                </c:pt>
                <c:pt idx="5">
                  <c:v>7.5046250000000008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F-45BB-A473-B98F05CDE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47871"/>
        <c:axId val="1186647279"/>
      </c:scatterChart>
      <c:scatterChart>
        <c:scatterStyle val="lineMarker"/>
        <c:varyColors val="0"/>
        <c:ser>
          <c:idx val="1"/>
          <c:order val="1"/>
          <c:tx>
            <c:strRef>
              <c:f>'Rev-Sorted'!$K$36</c:f>
              <c:strCache>
                <c:ptCount val="1"/>
                <c:pt idx="0">
                  <c:v>O(NlogN)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'Rev-Sorted'!$L$36:$Q$36</c:f>
              <c:numCache>
                <c:formatCode>General</c:formatCode>
                <c:ptCount val="6"/>
                <c:pt idx="0">
                  <c:v>3000</c:v>
                </c:pt>
                <c:pt idx="1">
                  <c:v>18494.850021680093</c:v>
                </c:pt>
                <c:pt idx="2">
                  <c:v>40000</c:v>
                </c:pt>
                <c:pt idx="3">
                  <c:v>234948.50021680092</c:v>
                </c:pt>
                <c:pt idx="4">
                  <c:v>500000</c:v>
                </c:pt>
                <c:pt idx="5">
                  <c:v>1060205.9991327962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6F-45BB-A473-B98F05CDE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13551"/>
        <c:axId val="1454400591"/>
      </c:scatterChart>
      <c:valAx>
        <c:axId val="92194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ysClr val="windowText" lastClr="000000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86647279"/>
        <c:crosses val="autoZero"/>
        <c:crossBetween val="midCat"/>
      </c:valAx>
      <c:valAx>
        <c:axId val="1186647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เวลา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(ms)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21947871"/>
        <c:crosses val="autoZero"/>
        <c:crossBetween val="midCat"/>
      </c:valAx>
      <c:valAx>
        <c:axId val="14544005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4413551"/>
        <c:crosses val="max"/>
        <c:crossBetween val="midCat"/>
      </c:valAx>
      <c:valAx>
        <c:axId val="145441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40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กราฟแสดงความสัมพัทธ์ระหว่างเวลาในการเรียงข้อมูล 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(ms) 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และจำนวนข้อมูล (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n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r>
              <a:rPr lang="th-TH" sz="1200" b="0" i="0" u="none" strike="noStrike" kern="1200" spc="0" baseline="0">
                <a:solidFill>
                  <a:sysClr val="windowText" lastClr="000000"/>
                </a:solidFill>
              </a:rPr>
              <a:t>สำหรับข้อมูลที่เรียงจากมากไปน้อย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Insertion Sort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'Rev-Sorted'!$C$36:$H$36</c:f>
              <c:numCache>
                <c:formatCode>0.000</c:formatCode>
                <c:ptCount val="6"/>
                <c:pt idx="0">
                  <c:v>0.6886000000000001</c:v>
                </c:pt>
                <c:pt idx="1">
                  <c:v>17.181287500000003</c:v>
                </c:pt>
                <c:pt idx="2">
                  <c:v>68.065174999999996</c:v>
                </c:pt>
                <c:pt idx="3">
                  <c:v>1705.1829875000003</c:v>
                </c:pt>
                <c:pt idx="4">
                  <c:v>6838.0707000000002</c:v>
                </c:pt>
                <c:pt idx="5">
                  <c:v>27345.028324999999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4-4554-AAD5-D42A7952D2F3}"/>
            </c:ext>
          </c:extLst>
        </c:ser>
        <c:ser>
          <c:idx val="1"/>
          <c:order val="1"/>
          <c:tx>
            <c:v>Selection Sort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'Rev-Sorted'!$C$37:$H$37</c:f>
              <c:numCache>
                <c:formatCode>0.000</c:formatCode>
                <c:ptCount val="6"/>
                <c:pt idx="0">
                  <c:v>0.47663749999999994</c:v>
                </c:pt>
                <c:pt idx="1">
                  <c:v>12.096499999999999</c:v>
                </c:pt>
                <c:pt idx="2">
                  <c:v>48.477149999999995</c:v>
                </c:pt>
                <c:pt idx="3">
                  <c:v>1199.2007250000001</c:v>
                </c:pt>
                <c:pt idx="4">
                  <c:v>4812.6853375000001</c:v>
                </c:pt>
                <c:pt idx="5">
                  <c:v>19223.759062499998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14-4554-AAD5-D42A7952D2F3}"/>
            </c:ext>
          </c:extLst>
        </c:ser>
        <c:ser>
          <c:idx val="2"/>
          <c:order val="2"/>
          <c:tx>
            <c:v>Bubble Sort</c:v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'Rev-Sorted'!$C$38:$H$38</c:f>
              <c:numCache>
                <c:formatCode>0.000</c:formatCode>
                <c:ptCount val="6"/>
                <c:pt idx="0">
                  <c:v>1.0025249999999999</c:v>
                </c:pt>
                <c:pt idx="1">
                  <c:v>26.357112499999999</c:v>
                </c:pt>
                <c:pt idx="2">
                  <c:v>102.8498125</c:v>
                </c:pt>
                <c:pt idx="3">
                  <c:v>2572.6449124999999</c:v>
                </c:pt>
                <c:pt idx="4">
                  <c:v>10314.138025</c:v>
                </c:pt>
                <c:pt idx="5">
                  <c:v>41272.065625000003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14-4554-AAD5-D42A7952D2F3}"/>
            </c:ext>
          </c:extLst>
        </c:ser>
        <c:ser>
          <c:idx val="3"/>
          <c:order val="3"/>
          <c:tx>
            <c:v>Merge Sort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'Rev-Sorted'!$C$39:$H$39</c:f>
              <c:numCache>
                <c:formatCode>0.000</c:formatCode>
                <c:ptCount val="6"/>
                <c:pt idx="0">
                  <c:v>3.5649999999999994E-2</c:v>
                </c:pt>
                <c:pt idx="1">
                  <c:v>0.24495000000000003</c:v>
                </c:pt>
                <c:pt idx="2">
                  <c:v>0.45091250000000005</c:v>
                </c:pt>
                <c:pt idx="3">
                  <c:v>2.5379874999999998</c:v>
                </c:pt>
                <c:pt idx="4">
                  <c:v>5.4271000000000003</c:v>
                </c:pt>
                <c:pt idx="5">
                  <c:v>11.3372625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14-4554-AAD5-D42A7952D2F3}"/>
            </c:ext>
          </c:extLst>
        </c:ser>
        <c:ser>
          <c:idx val="4"/>
          <c:order val="4"/>
          <c:tx>
            <c:v>Quick Sort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'Rev-Sorted'!$C$40:$H$40</c:f>
              <c:numCache>
                <c:formatCode>0.000</c:formatCode>
                <c:ptCount val="6"/>
                <c:pt idx="0">
                  <c:v>0.38613750000000002</c:v>
                </c:pt>
                <c:pt idx="1">
                  <c:v>9.6222500000000011</c:v>
                </c:pt>
                <c:pt idx="2">
                  <c:v>38.272924999999994</c:v>
                </c:pt>
                <c:pt idx="3">
                  <c:v>946.50459999999998</c:v>
                </c:pt>
                <c:pt idx="4">
                  <c:v>3768.8622124999993</c:v>
                </c:pt>
                <c:pt idx="5">
                  <c:v>15197.709837500002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14-4554-AAD5-D42A7952D2F3}"/>
            </c:ext>
          </c:extLst>
        </c:ser>
        <c:ser>
          <c:idx val="5"/>
          <c:order val="5"/>
          <c:tx>
            <c:v>Random Pivot Quick Sort</c:v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'Rev-Sorted'!$C$35:$H$35</c:f>
              <c:numCache>
                <c:formatCode>General</c:formatCode>
                <c:ptCount val="6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200000</c:v>
                </c:pt>
              </c:numCache>
            </c:numRef>
          </c:xVal>
          <c:yVal>
            <c:numRef>
              <c:f>'Rev-Sorted'!$C$41:$H$41</c:f>
              <c:numCache>
                <c:formatCode>0.000</c:formatCode>
                <c:ptCount val="6"/>
                <c:pt idx="0">
                  <c:v>2.7449999999999999E-2</c:v>
                </c:pt>
                <c:pt idx="1">
                  <c:v>0.15161249999999998</c:v>
                </c:pt>
                <c:pt idx="2">
                  <c:v>0.31336249999999999</c:v>
                </c:pt>
                <c:pt idx="3">
                  <c:v>1.6390499999999999</c:v>
                </c:pt>
                <c:pt idx="4">
                  <c:v>3.5280375000000004</c:v>
                </c:pt>
                <c:pt idx="5">
                  <c:v>7.5046250000000008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14-4554-AAD5-D42A7952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90623"/>
        <c:axId val="685575535"/>
      </c:scatterChart>
      <c:valAx>
        <c:axId val="684990623"/>
        <c:scaling>
          <c:orientation val="minMax"/>
          <c:max val="2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 b="0" i="0" u="none" strike="noStrike" kern="1200" baseline="0">
                    <a:solidFill>
                      <a:schemeClr val="tx1"/>
                    </a:solidFill>
                  </a:rPr>
                  <a:t>จำนวนข้อมูล </a:t>
                </a:r>
                <a:r>
                  <a:rPr lang="en-US" sz="1200" b="0" i="0" u="none" strike="noStrike" kern="1200" baseline="0">
                    <a:solidFill>
                      <a:schemeClr val="tx1"/>
                    </a:solidFill>
                  </a:rPr>
                  <a:t>(n)</a:t>
                </a:r>
                <a:endParaRPr lang="th-TH" sz="1200" b="0" i="0" u="none" strike="noStrike" kern="1200" baseline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671431368857169"/>
              <c:y val="0.94863882166878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5575535"/>
        <c:crossesAt val="1.0000000000000002E-3"/>
        <c:crossBetween val="midCat"/>
      </c:valAx>
      <c:valAx>
        <c:axId val="685575535"/>
        <c:scaling>
          <c:logBase val="10"/>
          <c:orientation val="minMax"/>
          <c:min val="1.0000000000000002E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200">
                    <a:solidFill>
                      <a:sysClr val="windowText" lastClr="000000"/>
                    </a:solidFill>
                  </a:rPr>
                  <a:t>เวลา</a:t>
                </a:r>
                <a:r>
                  <a:rPr lang="th-TH" sz="12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(ms</a:t>
                </a:r>
                <a:r>
                  <a:rPr lang="th-TH" sz="1200" b="0" i="0" u="none" strike="noStrike" baseline="0"/>
                  <a:t>, log scale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)</a:t>
                </a:r>
                <a:endParaRPr lang="th-TH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499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DED51B-9D30-4065-AEAF-4AB0DA5C718E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A9FBE8-7003-4753-846A-54A225A2CD57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0A8E61-4671-46E2-8C74-39BDC2F11425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573618</xdr:colOff>
      <xdr:row>45</xdr:row>
      <xdr:rowOff>22071</xdr:rowOff>
    </xdr:from>
    <xdr:to>
      <xdr:col>7</xdr:col>
      <xdr:colOff>216118</xdr:colOff>
      <xdr:row>73</xdr:row>
      <xdr:rowOff>83671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0D22D1A8-1330-C8BA-A06A-E57113D7C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625755</xdr:colOff>
      <xdr:row>45</xdr:row>
      <xdr:rowOff>94261</xdr:rowOff>
    </xdr:from>
    <xdr:to>
      <xdr:col>15</xdr:col>
      <xdr:colOff>217455</xdr:colOff>
      <xdr:row>73</xdr:row>
      <xdr:rowOff>155861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759D0059-71F0-545D-7435-CC99599C8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717998</xdr:colOff>
      <xdr:row>45</xdr:row>
      <xdr:rowOff>106293</xdr:rowOff>
    </xdr:from>
    <xdr:to>
      <xdr:col>24</xdr:col>
      <xdr:colOff>157298</xdr:colOff>
      <xdr:row>73</xdr:row>
      <xdr:rowOff>167893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AE3305B6-53F6-47E4-443A-F5BDDFC92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605702</xdr:colOff>
      <xdr:row>76</xdr:row>
      <xdr:rowOff>174472</xdr:rowOff>
    </xdr:from>
    <xdr:to>
      <xdr:col>7</xdr:col>
      <xdr:colOff>248202</xdr:colOff>
      <xdr:row>102</xdr:row>
      <xdr:rowOff>107401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938DD483-39B2-770F-CC4D-9D4E12C908D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645139</xdr:colOff>
      <xdr:row>77</xdr:row>
      <xdr:rowOff>104287</xdr:rowOff>
    </xdr:from>
    <xdr:to>
      <xdr:col>15</xdr:col>
      <xdr:colOff>236839</xdr:colOff>
      <xdr:row>105</xdr:row>
      <xdr:rowOff>165887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0E2BEC4C-C25B-5C1B-BE57-D22FDE78C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28187</xdr:colOff>
      <xdr:row>77</xdr:row>
      <xdr:rowOff>78219</xdr:rowOff>
    </xdr:from>
    <xdr:to>
      <xdr:col>24</xdr:col>
      <xdr:colOff>267587</xdr:colOff>
      <xdr:row>105</xdr:row>
      <xdr:rowOff>139819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CEDFFEBD-22F1-9151-EB5A-EEEE33955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B395D391-760E-AB54-B625-3A5D16781D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0</xdr:rowOff>
    </xdr:from>
    <xdr:to>
      <xdr:col>6</xdr:col>
      <xdr:colOff>622983</xdr:colOff>
      <xdr:row>72</xdr:row>
      <xdr:rowOff>158033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48AAAAD2-D47B-41E3-A838-A9063A8F1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141944</xdr:colOff>
      <xdr:row>45</xdr:row>
      <xdr:rowOff>72190</xdr:rowOff>
    </xdr:from>
    <xdr:to>
      <xdr:col>14</xdr:col>
      <xdr:colOff>752012</xdr:colOff>
      <xdr:row>73</xdr:row>
      <xdr:rowOff>49410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F63C3075-AF39-4789-9654-9A5B73090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538987</xdr:colOff>
      <xdr:row>45</xdr:row>
      <xdr:rowOff>84222</xdr:rowOff>
    </xdr:from>
    <xdr:to>
      <xdr:col>24</xdr:col>
      <xdr:colOff>438716</xdr:colOff>
      <xdr:row>73</xdr:row>
      <xdr:rowOff>61442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CD310633-7430-4464-8015-A55E58387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32084</xdr:colOff>
      <xdr:row>76</xdr:row>
      <xdr:rowOff>68036</xdr:rowOff>
    </xdr:from>
    <xdr:to>
      <xdr:col>6</xdr:col>
      <xdr:colOff>655067</xdr:colOff>
      <xdr:row>104</xdr:row>
      <xdr:rowOff>45257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159A4EB0-DEFC-47C5-858A-424581FC7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174028</xdr:colOff>
      <xdr:row>76</xdr:row>
      <xdr:rowOff>131203</xdr:rowOff>
    </xdr:from>
    <xdr:to>
      <xdr:col>14</xdr:col>
      <xdr:colOff>784096</xdr:colOff>
      <xdr:row>101</xdr:row>
      <xdr:rowOff>149647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64CD2695-954B-4C0C-A612-2795DE077C0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611177</xdr:colOff>
      <xdr:row>76</xdr:row>
      <xdr:rowOff>143234</xdr:rowOff>
    </xdr:from>
    <xdr:to>
      <xdr:col>24</xdr:col>
      <xdr:colOff>510906</xdr:colOff>
      <xdr:row>104</xdr:row>
      <xdr:rowOff>120455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0643968B-4132-4D08-89FB-037F89B82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20F9CF1-AFE7-29B8-BCA9-A4E4E9026D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0</xdr:rowOff>
    </xdr:from>
    <xdr:to>
      <xdr:col>6</xdr:col>
      <xdr:colOff>315600</xdr:colOff>
      <xdr:row>72</xdr:row>
      <xdr:rowOff>177055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3158D529-F246-48BE-B9A6-FE24F8DA1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522944</xdr:colOff>
      <xdr:row>45</xdr:row>
      <xdr:rowOff>72190</xdr:rowOff>
    </xdr:from>
    <xdr:to>
      <xdr:col>14</xdr:col>
      <xdr:colOff>173526</xdr:colOff>
      <xdr:row>73</xdr:row>
      <xdr:rowOff>69136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C3473993-EA82-4D61-B663-B691AE05C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639</xdr:colOff>
      <xdr:row>45</xdr:row>
      <xdr:rowOff>84222</xdr:rowOff>
    </xdr:from>
    <xdr:to>
      <xdr:col>23</xdr:col>
      <xdr:colOff>634894</xdr:colOff>
      <xdr:row>73</xdr:row>
      <xdr:rowOff>81168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B14CF756-2F8D-4B1E-A6F7-EA98FAA11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32084</xdr:colOff>
      <xdr:row>76</xdr:row>
      <xdr:rowOff>68036</xdr:rowOff>
    </xdr:from>
    <xdr:to>
      <xdr:col>6</xdr:col>
      <xdr:colOff>347684</xdr:colOff>
      <xdr:row>104</xdr:row>
      <xdr:rowOff>64981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879D05D4-BC36-46CD-AC6F-3FC4AD47B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555028</xdr:colOff>
      <xdr:row>76</xdr:row>
      <xdr:rowOff>131202</xdr:rowOff>
    </xdr:from>
    <xdr:to>
      <xdr:col>14</xdr:col>
      <xdr:colOff>205610</xdr:colOff>
      <xdr:row>104</xdr:row>
      <xdr:rowOff>128147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EF9D30D4-A352-4209-B17D-CF97CC5A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66890</xdr:colOff>
      <xdr:row>76</xdr:row>
      <xdr:rowOff>143234</xdr:rowOff>
    </xdr:from>
    <xdr:to>
      <xdr:col>23</xdr:col>
      <xdr:colOff>701145</xdr:colOff>
      <xdr:row>104</xdr:row>
      <xdr:rowOff>140179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034B8582-76BE-461C-8157-71A177351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0F592F22-AD07-5125-2635-544C1424BE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49B7-A8B9-48AD-ACD3-ABC28260F018}">
  <dimension ref="A1:X44"/>
  <sheetViews>
    <sheetView tabSelected="1" topLeftCell="A48" zoomScale="60" zoomScaleNormal="40" workbookViewId="0">
      <selection activeCell="J75" sqref="J75"/>
    </sheetView>
  </sheetViews>
  <sheetFormatPr defaultRowHeight="13.8" x14ac:dyDescent="0.25"/>
  <cols>
    <col min="1" max="1" width="8.796875" style="1"/>
    <col min="2" max="2" width="23.3984375" style="1" bestFit="1" customWidth="1"/>
    <col min="3" max="7" width="9.5" style="1" bestFit="1" customWidth="1"/>
    <col min="8" max="8" width="10.5" style="1" bestFit="1" customWidth="1"/>
    <col min="9" max="12" width="9.5" style="1" bestFit="1" customWidth="1"/>
    <col min="13" max="13" width="9" style="1" bestFit="1" customWidth="1"/>
    <col min="14" max="14" width="23.5" style="1" bestFit="1" customWidth="1"/>
    <col min="15" max="15" width="10.5" style="1" bestFit="1" customWidth="1"/>
    <col min="16" max="16" width="10.59765625" style="1" bestFit="1" customWidth="1"/>
    <col min="17" max="17" width="11.59765625" style="1" bestFit="1" customWidth="1"/>
    <col min="18" max="24" width="10.5" style="1" bestFit="1" customWidth="1"/>
    <col min="25" max="16384" width="8.796875" style="1"/>
  </cols>
  <sheetData>
    <row r="1" spans="1:24" x14ac:dyDescent="0.25">
      <c r="A1" s="14" t="s">
        <v>0</v>
      </c>
      <c r="B1" s="15"/>
    </row>
    <row r="3" spans="1:24" x14ac:dyDescent="0.25">
      <c r="B3" s="4" t="s">
        <v>12</v>
      </c>
      <c r="C3" s="1">
        <f>C35</f>
        <v>1000</v>
      </c>
      <c r="N3" s="4" t="s">
        <v>12</v>
      </c>
      <c r="O3" s="1">
        <f>D35</f>
        <v>5000</v>
      </c>
    </row>
    <row r="4" spans="1:24" x14ac:dyDescent="0.25">
      <c r="B4" s="9" t="s">
        <v>1</v>
      </c>
      <c r="C4" s="11" t="s">
        <v>15</v>
      </c>
      <c r="D4" s="12"/>
      <c r="E4" s="12"/>
      <c r="F4" s="12"/>
      <c r="G4" s="12"/>
      <c r="H4" s="12"/>
      <c r="I4" s="12"/>
      <c r="J4" s="12"/>
      <c r="K4" s="12"/>
      <c r="L4" s="13"/>
      <c r="N4" s="9" t="s">
        <v>1</v>
      </c>
      <c r="O4" s="11" t="s">
        <v>15</v>
      </c>
      <c r="P4" s="12"/>
      <c r="Q4" s="12"/>
      <c r="R4" s="12"/>
      <c r="S4" s="12"/>
      <c r="T4" s="12"/>
      <c r="U4" s="12"/>
      <c r="V4" s="12"/>
      <c r="W4" s="12"/>
      <c r="X4" s="13"/>
    </row>
    <row r="5" spans="1:24" x14ac:dyDescent="0.25">
      <c r="B5" s="10"/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N5" s="10"/>
      <c r="O5" s="5" t="s">
        <v>2</v>
      </c>
      <c r="P5" s="6" t="s">
        <v>3</v>
      </c>
      <c r="Q5" s="6" t="s">
        <v>4</v>
      </c>
      <c r="R5" s="6" t="s">
        <v>5</v>
      </c>
      <c r="S5" s="6" t="s">
        <v>6</v>
      </c>
      <c r="T5" s="6" t="s">
        <v>7</v>
      </c>
      <c r="U5" s="6" t="s">
        <v>8</v>
      </c>
      <c r="V5" s="6" t="s">
        <v>9</v>
      </c>
      <c r="W5" s="6" t="s">
        <v>10</v>
      </c>
      <c r="X5" s="6" t="s">
        <v>11</v>
      </c>
    </row>
    <row r="6" spans="1:24" x14ac:dyDescent="0.25">
      <c r="B6" s="2" t="s">
        <v>16</v>
      </c>
      <c r="C6" s="17">
        <v>0.33179999999999998</v>
      </c>
      <c r="D6" s="17">
        <v>0.34449999999999997</v>
      </c>
      <c r="E6" s="17">
        <v>0.36370000000000002</v>
      </c>
      <c r="F6" s="17">
        <v>0.33189999999999997</v>
      </c>
      <c r="G6" s="17">
        <v>0.34370000000000001</v>
      </c>
      <c r="H6" s="17">
        <v>0.84850000000000003</v>
      </c>
      <c r="I6" s="17">
        <v>1.3754999999999999</v>
      </c>
      <c r="J6" s="17">
        <v>0.36919999999999997</v>
      </c>
      <c r="K6" s="17">
        <v>0.35310000000000002</v>
      </c>
      <c r="L6" s="17">
        <v>0.34939999999999999</v>
      </c>
      <c r="N6" s="2" t="s">
        <v>16</v>
      </c>
      <c r="O6" s="17">
        <v>8.8879999999999999</v>
      </c>
      <c r="P6" s="17">
        <v>8.8758999999999997</v>
      </c>
      <c r="Q6" s="17">
        <v>8.8812999999999995</v>
      </c>
      <c r="R6" s="17">
        <v>8.8732000000000006</v>
      </c>
      <c r="S6" s="17">
        <v>8.9163999999999994</v>
      </c>
      <c r="T6" s="17">
        <v>8.8788999999999998</v>
      </c>
      <c r="U6" s="17">
        <v>8.8287999999999993</v>
      </c>
      <c r="V6" s="17">
        <v>8.7851999999999997</v>
      </c>
      <c r="W6" s="17">
        <v>8.7508999999999997</v>
      </c>
      <c r="X6" s="17">
        <v>8.8834999999999997</v>
      </c>
    </row>
    <row r="7" spans="1:24" x14ac:dyDescent="0.25">
      <c r="B7" s="2" t="s">
        <v>17</v>
      </c>
      <c r="C7" s="17">
        <v>0.49509999999999998</v>
      </c>
      <c r="D7" s="17">
        <v>0.47560000000000002</v>
      </c>
      <c r="E7" s="17">
        <v>0.53129999999999999</v>
      </c>
      <c r="F7" s="17">
        <v>0.4698</v>
      </c>
      <c r="G7" s="17">
        <v>0.47810000000000002</v>
      </c>
      <c r="H7" s="17">
        <v>0.46110000000000001</v>
      </c>
      <c r="I7" s="17">
        <v>0.46429999999999999</v>
      </c>
      <c r="J7" s="17">
        <v>0.4657</v>
      </c>
      <c r="K7" s="17">
        <v>0.50609999999999999</v>
      </c>
      <c r="L7" s="17">
        <v>0.47089999999999999</v>
      </c>
      <c r="N7" s="2" t="s">
        <v>17</v>
      </c>
      <c r="O7" s="17">
        <v>11.093500000000001</v>
      </c>
      <c r="P7" s="17">
        <v>11.018800000000001</v>
      </c>
      <c r="Q7" s="17">
        <v>11.013</v>
      </c>
      <c r="R7" s="17">
        <v>11.329800000000001</v>
      </c>
      <c r="S7" s="17">
        <v>10.764900000000001</v>
      </c>
      <c r="T7" s="17">
        <v>13.2614</v>
      </c>
      <c r="U7" s="17">
        <v>10.886900000000001</v>
      </c>
      <c r="V7" s="17">
        <v>10.9849</v>
      </c>
      <c r="W7" s="17">
        <v>10.927199999999999</v>
      </c>
      <c r="X7" s="17">
        <v>10.968</v>
      </c>
    </row>
    <row r="8" spans="1:24" x14ac:dyDescent="0.25">
      <c r="B8" s="2" t="s">
        <v>18</v>
      </c>
      <c r="C8" s="17">
        <v>0.86009999999999998</v>
      </c>
      <c r="D8" s="17">
        <v>0.92159999999999997</v>
      </c>
      <c r="E8" s="17">
        <v>0.85499999999999998</v>
      </c>
      <c r="F8" s="17">
        <v>0.84440000000000004</v>
      </c>
      <c r="G8" s="17">
        <v>0.83499999999999996</v>
      </c>
      <c r="H8" s="17">
        <v>0.83130000000000004</v>
      </c>
      <c r="I8" s="17">
        <v>0.83720000000000006</v>
      </c>
      <c r="J8" s="17">
        <v>0.82779999999999998</v>
      </c>
      <c r="K8" s="17">
        <v>0.82379999999999998</v>
      </c>
      <c r="L8" s="17">
        <v>0.82699999999999996</v>
      </c>
      <c r="N8" s="2" t="s">
        <v>18</v>
      </c>
      <c r="O8" s="17">
        <v>20.227699999999999</v>
      </c>
      <c r="P8" s="17">
        <v>20.275400000000001</v>
      </c>
      <c r="Q8" s="17">
        <v>20.236699999999999</v>
      </c>
      <c r="R8" s="17">
        <v>20.238800000000001</v>
      </c>
      <c r="S8" s="17">
        <v>20.9453</v>
      </c>
      <c r="T8" s="17">
        <v>27.754200000000001</v>
      </c>
      <c r="U8" s="17">
        <v>21.1934</v>
      </c>
      <c r="V8" s="17">
        <v>20.107500000000002</v>
      </c>
      <c r="W8" s="17">
        <v>20.3231</v>
      </c>
      <c r="X8" s="17">
        <v>24.868400000000001</v>
      </c>
    </row>
    <row r="9" spans="1:24" x14ac:dyDescent="0.25">
      <c r="B9" s="2" t="s">
        <v>19</v>
      </c>
      <c r="C9" s="17">
        <v>6.5799999999999997E-2</v>
      </c>
      <c r="D9" s="17">
        <v>4.6800000000000001E-2</v>
      </c>
      <c r="E9" s="17">
        <v>4.0800000000000003E-2</v>
      </c>
      <c r="F9" s="17">
        <v>3.9600000000000003E-2</v>
      </c>
      <c r="G9" s="17">
        <v>3.9399999999999998E-2</v>
      </c>
      <c r="H9" s="17">
        <v>3.9100000000000003E-2</v>
      </c>
      <c r="I9" s="17">
        <v>3.9199999999999999E-2</v>
      </c>
      <c r="J9" s="17">
        <v>3.9100000000000003E-2</v>
      </c>
      <c r="K9" s="17">
        <v>3.9100000000000003E-2</v>
      </c>
      <c r="L9" s="17">
        <v>3.9E-2</v>
      </c>
      <c r="N9" s="2" t="s">
        <v>19</v>
      </c>
      <c r="O9" s="17">
        <v>0.38069999999999998</v>
      </c>
      <c r="P9" s="17">
        <v>0.34610000000000002</v>
      </c>
      <c r="Q9" s="17">
        <v>0.34310000000000002</v>
      </c>
      <c r="R9" s="17">
        <v>0.32729999999999998</v>
      </c>
      <c r="S9" s="17">
        <v>0.32129999999999997</v>
      </c>
      <c r="T9" s="17">
        <v>0.31719999999999998</v>
      </c>
      <c r="U9" s="17">
        <v>0.3201</v>
      </c>
      <c r="V9" s="17">
        <v>0.31969999999999998</v>
      </c>
      <c r="W9" s="17">
        <v>0.31819999999999998</v>
      </c>
      <c r="X9" s="17">
        <v>0.313</v>
      </c>
    </row>
    <row r="10" spans="1:24" x14ac:dyDescent="0.25">
      <c r="B10" s="2" t="s">
        <v>20</v>
      </c>
      <c r="C10" s="17">
        <v>4.4900000000000002E-2</v>
      </c>
      <c r="D10" s="17">
        <v>3.1800000000000002E-2</v>
      </c>
      <c r="E10" s="17">
        <v>2.18E-2</v>
      </c>
      <c r="F10" s="17">
        <v>1.9699999999999999E-2</v>
      </c>
      <c r="G10" s="17">
        <v>1.9599999999999999E-2</v>
      </c>
      <c r="H10" s="17">
        <v>1.95E-2</v>
      </c>
      <c r="I10" s="17">
        <v>1.95E-2</v>
      </c>
      <c r="J10" s="17">
        <v>1.9400000000000001E-2</v>
      </c>
      <c r="K10" s="17">
        <v>1.9400000000000001E-2</v>
      </c>
      <c r="L10" s="17">
        <v>1.9400000000000001E-2</v>
      </c>
      <c r="N10" s="2" t="s">
        <v>20</v>
      </c>
      <c r="O10" s="17">
        <v>0.24859999999999999</v>
      </c>
      <c r="P10" s="17">
        <v>0.24010000000000001</v>
      </c>
      <c r="Q10" s="17">
        <v>0.23039999999999999</v>
      </c>
      <c r="R10" s="17">
        <v>0.23039999999999999</v>
      </c>
      <c r="S10" s="17">
        <v>0.21240000000000001</v>
      </c>
      <c r="T10" s="17">
        <v>0.21049999999999999</v>
      </c>
      <c r="U10" s="17">
        <v>0.21920000000000001</v>
      </c>
      <c r="V10" s="17">
        <v>0.2059</v>
      </c>
      <c r="W10" s="17">
        <v>0.1986</v>
      </c>
      <c r="X10" s="17">
        <v>0.19289999999999999</v>
      </c>
    </row>
    <row r="11" spans="1:24" x14ac:dyDescent="0.25">
      <c r="B11" s="2" t="s">
        <v>21</v>
      </c>
      <c r="C11" s="18">
        <v>5.3199999999999997E-2</v>
      </c>
      <c r="D11" s="17">
        <v>5.2299999999999999E-2</v>
      </c>
      <c r="E11" s="17">
        <v>5.2299999999999999E-2</v>
      </c>
      <c r="F11" s="17">
        <v>5.1200000000000002E-2</v>
      </c>
      <c r="G11" s="17">
        <v>5.21E-2</v>
      </c>
      <c r="H11" s="17">
        <v>5.16E-2</v>
      </c>
      <c r="I11" s="17">
        <v>5.2299999999999999E-2</v>
      </c>
      <c r="J11" s="17">
        <v>5.1999999999999998E-2</v>
      </c>
      <c r="K11" s="17">
        <v>5.0799999999999998E-2</v>
      </c>
      <c r="L11" s="17">
        <v>5.2499999999999998E-2</v>
      </c>
      <c r="N11" s="2" t="s">
        <v>21</v>
      </c>
      <c r="O11" s="18">
        <v>0.29099999999999998</v>
      </c>
      <c r="P11" s="17">
        <v>0.28620000000000001</v>
      </c>
      <c r="Q11" s="17">
        <v>0.29110000000000003</v>
      </c>
      <c r="R11" s="17">
        <v>0.2843</v>
      </c>
      <c r="S11" s="17">
        <v>0.29270000000000002</v>
      </c>
      <c r="T11" s="17">
        <v>0.2928</v>
      </c>
      <c r="U11" s="17">
        <v>0.28420000000000001</v>
      </c>
      <c r="V11" s="17">
        <v>0.29010000000000002</v>
      </c>
      <c r="W11" s="17">
        <v>0.29060000000000002</v>
      </c>
      <c r="X11" s="17">
        <v>0.28720000000000001</v>
      </c>
    </row>
    <row r="13" spans="1:24" x14ac:dyDescent="0.25">
      <c r="B13" s="4" t="s">
        <v>12</v>
      </c>
      <c r="C13" s="1">
        <f>E35</f>
        <v>10000</v>
      </c>
      <c r="N13" s="4" t="s">
        <v>12</v>
      </c>
      <c r="O13" s="1">
        <f>F35</f>
        <v>50000</v>
      </c>
    </row>
    <row r="14" spans="1:24" x14ac:dyDescent="0.25">
      <c r="B14" s="9" t="s">
        <v>1</v>
      </c>
      <c r="C14" s="11" t="s">
        <v>15</v>
      </c>
      <c r="D14" s="12"/>
      <c r="E14" s="12"/>
      <c r="F14" s="12"/>
      <c r="G14" s="12"/>
      <c r="H14" s="12"/>
      <c r="I14" s="12"/>
      <c r="J14" s="12"/>
      <c r="K14" s="12"/>
      <c r="L14" s="13"/>
      <c r="N14" s="9" t="s">
        <v>1</v>
      </c>
      <c r="O14" s="11" t="s">
        <v>15</v>
      </c>
      <c r="P14" s="12"/>
      <c r="Q14" s="12"/>
      <c r="R14" s="12"/>
      <c r="S14" s="12"/>
      <c r="T14" s="12"/>
      <c r="U14" s="12"/>
      <c r="V14" s="12"/>
      <c r="W14" s="12"/>
      <c r="X14" s="13"/>
    </row>
    <row r="15" spans="1:24" x14ac:dyDescent="0.25">
      <c r="B15" s="10"/>
      <c r="C15" s="5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  <c r="K15" s="6" t="s">
        <v>10</v>
      </c>
      <c r="L15" s="6" t="s">
        <v>11</v>
      </c>
      <c r="N15" s="10"/>
      <c r="O15" s="5" t="s">
        <v>2</v>
      </c>
      <c r="P15" s="6" t="s">
        <v>3</v>
      </c>
      <c r="Q15" s="6" t="s">
        <v>4</v>
      </c>
      <c r="R15" s="6" t="s">
        <v>5</v>
      </c>
      <c r="S15" s="6" t="s">
        <v>6</v>
      </c>
      <c r="T15" s="6" t="s">
        <v>7</v>
      </c>
      <c r="U15" s="6" t="s">
        <v>8</v>
      </c>
      <c r="V15" s="6" t="s">
        <v>9</v>
      </c>
      <c r="W15" s="6" t="s">
        <v>10</v>
      </c>
      <c r="X15" s="6" t="s">
        <v>11</v>
      </c>
    </row>
    <row r="16" spans="1:24" x14ac:dyDescent="0.25">
      <c r="B16" s="2" t="s">
        <v>16</v>
      </c>
      <c r="C16" s="17">
        <v>34.162500000000001</v>
      </c>
      <c r="D16" s="17">
        <v>34.174599999999998</v>
      </c>
      <c r="E16" s="17">
        <v>33.962800000000001</v>
      </c>
      <c r="F16" s="17">
        <v>33.970700000000001</v>
      </c>
      <c r="G16" s="17">
        <v>33.906700000000001</v>
      </c>
      <c r="H16" s="17">
        <v>36.761899999999997</v>
      </c>
      <c r="I16" s="17">
        <v>35.1815</v>
      </c>
      <c r="J16" s="17">
        <v>34.829599999999999</v>
      </c>
      <c r="K16" s="17">
        <v>34.4313</v>
      </c>
      <c r="L16" s="17">
        <v>34.148800000000001</v>
      </c>
      <c r="N16" s="2" t="s">
        <v>16</v>
      </c>
      <c r="O16" s="17">
        <v>858.83069999999998</v>
      </c>
      <c r="P16" s="17">
        <v>860.00070000000005</v>
      </c>
      <c r="Q16" s="17">
        <v>852.12099999999998</v>
      </c>
      <c r="R16" s="17">
        <v>853.21969999999999</v>
      </c>
      <c r="S16" s="17">
        <v>855.22670000000005</v>
      </c>
      <c r="T16" s="17">
        <v>857.55579999999998</v>
      </c>
      <c r="U16" s="17">
        <v>853.33929999999998</v>
      </c>
      <c r="V16" s="17">
        <v>858.21990000000005</v>
      </c>
      <c r="W16" s="17">
        <v>853.62310000000002</v>
      </c>
      <c r="X16" s="17">
        <v>854.62159999999994</v>
      </c>
    </row>
    <row r="17" spans="2:24" x14ac:dyDescent="0.25">
      <c r="B17" s="2" t="s">
        <v>17</v>
      </c>
      <c r="C17" s="17">
        <v>45.518599999999999</v>
      </c>
      <c r="D17" s="17">
        <v>44.921399999999998</v>
      </c>
      <c r="E17" s="17">
        <v>44.612499999999997</v>
      </c>
      <c r="F17" s="17">
        <v>43.700800000000001</v>
      </c>
      <c r="G17" s="17">
        <v>43.6083</v>
      </c>
      <c r="H17" s="17">
        <v>46.426600000000001</v>
      </c>
      <c r="I17" s="17">
        <v>47.162500000000001</v>
      </c>
      <c r="J17" s="17">
        <v>45.967700000000001</v>
      </c>
      <c r="K17" s="17">
        <v>44.379399999999997</v>
      </c>
      <c r="L17" s="17">
        <v>43.978000000000002</v>
      </c>
      <c r="N17" s="2" t="s">
        <v>17</v>
      </c>
      <c r="O17" s="17">
        <v>1086.4394</v>
      </c>
      <c r="P17" s="17">
        <v>1081.8299</v>
      </c>
      <c r="Q17" s="17">
        <v>1082.0749000000001</v>
      </c>
      <c r="R17" s="17">
        <v>1080.5681999999999</v>
      </c>
      <c r="S17" s="17">
        <v>1078.3352</v>
      </c>
      <c r="T17" s="17">
        <v>1090.4349999999999</v>
      </c>
      <c r="U17" s="17">
        <v>1091.3589999999999</v>
      </c>
      <c r="V17" s="17">
        <v>1086.3934999999999</v>
      </c>
      <c r="W17" s="17">
        <v>1083.4421</v>
      </c>
      <c r="X17" s="17">
        <v>1093.1500000000001</v>
      </c>
    </row>
    <row r="18" spans="2:24" x14ac:dyDescent="0.25">
      <c r="B18" s="2" t="s">
        <v>18</v>
      </c>
      <c r="C18" s="17">
        <v>81.153899999999993</v>
      </c>
      <c r="D18" s="17">
        <v>82.552400000000006</v>
      </c>
      <c r="E18" s="17">
        <v>82.536100000000005</v>
      </c>
      <c r="F18" s="17">
        <v>80.897499999999994</v>
      </c>
      <c r="G18" s="17">
        <v>80.778899999999993</v>
      </c>
      <c r="H18" s="17">
        <v>82.377600000000001</v>
      </c>
      <c r="I18" s="17">
        <v>81.9803</v>
      </c>
      <c r="J18" s="17">
        <v>80.075299999999999</v>
      </c>
      <c r="K18" s="17">
        <v>80.227199999999996</v>
      </c>
      <c r="L18" s="17">
        <v>79.545000000000002</v>
      </c>
      <c r="N18" s="2" t="s">
        <v>18</v>
      </c>
      <c r="O18" s="17">
        <v>2014.0405000000001</v>
      </c>
      <c r="P18" s="17">
        <v>2004.1546000000001</v>
      </c>
      <c r="Q18" s="17">
        <v>2016.0909999999999</v>
      </c>
      <c r="R18" s="17">
        <v>1997.2429</v>
      </c>
      <c r="S18" s="17">
        <v>2008.27</v>
      </c>
      <c r="T18" s="17">
        <v>2003.2291</v>
      </c>
      <c r="U18" s="17">
        <v>2001.7981</v>
      </c>
      <c r="V18" s="17">
        <v>1999.1034</v>
      </c>
      <c r="W18" s="17">
        <v>2008.8807999999999</v>
      </c>
      <c r="X18" s="17">
        <v>2004.1087</v>
      </c>
    </row>
    <row r="19" spans="2:24" x14ac:dyDescent="0.25">
      <c r="B19" s="2" t="s">
        <v>19</v>
      </c>
      <c r="C19" s="17">
        <v>0.80659999999999998</v>
      </c>
      <c r="D19" s="17">
        <v>0.77990000000000004</v>
      </c>
      <c r="E19" s="17">
        <v>0.77890000000000004</v>
      </c>
      <c r="F19" s="17">
        <v>0.78090000000000004</v>
      </c>
      <c r="G19" s="17">
        <v>0.76459999999999995</v>
      </c>
      <c r="H19" s="17">
        <v>0.77190000000000003</v>
      </c>
      <c r="I19" s="17">
        <v>0.77210000000000001</v>
      </c>
      <c r="J19" s="17">
        <v>0.7752</v>
      </c>
      <c r="K19" s="17">
        <v>0.77580000000000005</v>
      </c>
      <c r="L19" s="17">
        <v>0.80579999999999996</v>
      </c>
      <c r="N19" s="2" t="s">
        <v>19</v>
      </c>
      <c r="O19" s="17">
        <v>4.6298000000000004</v>
      </c>
      <c r="P19" s="17">
        <v>4.5666000000000002</v>
      </c>
      <c r="Q19" s="17">
        <v>4.6265000000000001</v>
      </c>
      <c r="R19" s="17">
        <v>4.5789999999999997</v>
      </c>
      <c r="S19" s="17">
        <v>4.55</v>
      </c>
      <c r="T19" s="17">
        <v>4.6326000000000001</v>
      </c>
      <c r="U19" s="17">
        <v>4.5732999999999997</v>
      </c>
      <c r="V19" s="17">
        <v>4.5739000000000001</v>
      </c>
      <c r="W19" s="17">
        <v>4.8146000000000004</v>
      </c>
      <c r="X19" s="17">
        <v>4.5564</v>
      </c>
    </row>
    <row r="20" spans="2:24" x14ac:dyDescent="0.25">
      <c r="B20" s="2" t="s">
        <v>20</v>
      </c>
      <c r="C20" s="17">
        <v>0.54590000000000005</v>
      </c>
      <c r="D20" s="17">
        <v>0.53110000000000002</v>
      </c>
      <c r="E20" s="17">
        <v>0.57069999999999999</v>
      </c>
      <c r="F20" s="17">
        <v>0.53280000000000005</v>
      </c>
      <c r="G20" s="17">
        <v>0.52739999999999998</v>
      </c>
      <c r="H20" s="17">
        <v>0.52390000000000003</v>
      </c>
      <c r="I20" s="17">
        <v>0.52539999999999998</v>
      </c>
      <c r="J20" s="17">
        <v>0.52429999999999999</v>
      </c>
      <c r="K20" s="17">
        <v>0.52510000000000001</v>
      </c>
      <c r="L20" s="17">
        <v>0.5212</v>
      </c>
      <c r="N20" s="2" t="s">
        <v>20</v>
      </c>
      <c r="O20" s="17">
        <v>3.1086</v>
      </c>
      <c r="P20" s="17">
        <v>3.0743999999999998</v>
      </c>
      <c r="Q20" s="17">
        <v>3.0798000000000001</v>
      </c>
      <c r="R20" s="17">
        <v>3.1221000000000001</v>
      </c>
      <c r="S20" s="17">
        <v>3.0811999999999999</v>
      </c>
      <c r="T20" s="17">
        <v>3.0836000000000001</v>
      </c>
      <c r="U20" s="17">
        <v>3.0937000000000001</v>
      </c>
      <c r="V20" s="17">
        <v>3.1061999999999999</v>
      </c>
      <c r="W20" s="17">
        <v>3.1400999999999999</v>
      </c>
      <c r="X20" s="17">
        <v>3.0937000000000001</v>
      </c>
    </row>
    <row r="21" spans="2:24" x14ac:dyDescent="0.25">
      <c r="B21" s="2" t="s">
        <v>21</v>
      </c>
      <c r="C21" s="18">
        <v>0.62690000000000001</v>
      </c>
      <c r="D21" s="17">
        <v>0.62190000000000001</v>
      </c>
      <c r="E21" s="17">
        <v>0.61709999999999998</v>
      </c>
      <c r="F21" s="17">
        <v>0.62890000000000001</v>
      </c>
      <c r="G21" s="17">
        <v>0.62960000000000005</v>
      </c>
      <c r="H21" s="17">
        <v>0.61939999999999995</v>
      </c>
      <c r="I21" s="17">
        <v>0.61970000000000003</v>
      </c>
      <c r="J21" s="17">
        <v>0.62109999999999999</v>
      </c>
      <c r="K21" s="17">
        <v>0.62260000000000004</v>
      </c>
      <c r="L21" s="17">
        <v>0.62239999999999995</v>
      </c>
      <c r="N21" s="2" t="s">
        <v>21</v>
      </c>
      <c r="O21" s="18">
        <v>3.5973999999999999</v>
      </c>
      <c r="P21" s="17">
        <v>3.5072999999999999</v>
      </c>
      <c r="Q21" s="17">
        <v>3.5920999999999998</v>
      </c>
      <c r="R21" s="17">
        <v>3.5788000000000002</v>
      </c>
      <c r="S21" s="17">
        <v>3.5106000000000002</v>
      </c>
      <c r="T21" s="17">
        <v>3.5301999999999998</v>
      </c>
      <c r="U21" s="17">
        <v>3.6076999999999999</v>
      </c>
      <c r="V21" s="17">
        <v>3.5200999999999998</v>
      </c>
      <c r="W21" s="17">
        <v>3.5230000000000001</v>
      </c>
      <c r="X21" s="17">
        <v>3.5238</v>
      </c>
    </row>
    <row r="23" spans="2:24" x14ac:dyDescent="0.25">
      <c r="B23" s="4" t="s">
        <v>12</v>
      </c>
      <c r="C23" s="1">
        <f>G35</f>
        <v>100000</v>
      </c>
      <c r="N23" s="4" t="s">
        <v>12</v>
      </c>
      <c r="O23" s="1">
        <f>H35</f>
        <v>200000</v>
      </c>
    </row>
    <row r="24" spans="2:24" x14ac:dyDescent="0.25">
      <c r="B24" s="9" t="s">
        <v>1</v>
      </c>
      <c r="C24" s="11" t="s">
        <v>15</v>
      </c>
      <c r="D24" s="12"/>
      <c r="E24" s="12"/>
      <c r="F24" s="12"/>
      <c r="G24" s="12"/>
      <c r="H24" s="12"/>
      <c r="I24" s="12"/>
      <c r="J24" s="12"/>
      <c r="K24" s="12"/>
      <c r="L24" s="13"/>
      <c r="N24" s="9" t="s">
        <v>1</v>
      </c>
      <c r="O24" s="11" t="s">
        <v>15</v>
      </c>
      <c r="P24" s="12"/>
      <c r="Q24" s="12"/>
      <c r="R24" s="12"/>
      <c r="S24" s="12"/>
      <c r="T24" s="12"/>
      <c r="U24" s="12"/>
      <c r="V24" s="12"/>
      <c r="W24" s="12"/>
      <c r="X24" s="13"/>
    </row>
    <row r="25" spans="2:24" x14ac:dyDescent="0.25">
      <c r="B25" s="10"/>
      <c r="C25" s="5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6" t="s">
        <v>8</v>
      </c>
      <c r="J25" s="6" t="s">
        <v>9</v>
      </c>
      <c r="K25" s="6" t="s">
        <v>10</v>
      </c>
      <c r="L25" s="6" t="s">
        <v>11</v>
      </c>
      <c r="N25" s="10"/>
      <c r="O25" s="5" t="s">
        <v>2</v>
      </c>
      <c r="P25" s="6" t="s">
        <v>3</v>
      </c>
      <c r="Q25" s="6" t="s">
        <v>4</v>
      </c>
      <c r="R25" s="6" t="s">
        <v>5</v>
      </c>
      <c r="S25" s="6" t="s">
        <v>6</v>
      </c>
      <c r="T25" s="6" t="s">
        <v>7</v>
      </c>
      <c r="U25" s="6" t="s">
        <v>8</v>
      </c>
      <c r="V25" s="6" t="s">
        <v>9</v>
      </c>
      <c r="W25" s="6" t="s">
        <v>10</v>
      </c>
      <c r="X25" s="6" t="s">
        <v>11</v>
      </c>
    </row>
    <row r="26" spans="2:24" x14ac:dyDescent="0.25">
      <c r="B26" s="2" t="s">
        <v>16</v>
      </c>
      <c r="C26" s="17">
        <v>3427.1568000000002</v>
      </c>
      <c r="D26" s="17">
        <v>3428.4983999999999</v>
      </c>
      <c r="E26" s="17">
        <v>3420.4153000000001</v>
      </c>
      <c r="F26" s="17">
        <v>3416.8856999999998</v>
      </c>
      <c r="G26" s="17">
        <v>3417.8076000000001</v>
      </c>
      <c r="H26" s="17">
        <v>3419.9389999999999</v>
      </c>
      <c r="I26" s="17">
        <v>3415.3645000000001</v>
      </c>
      <c r="J26" s="17">
        <v>3419.0443</v>
      </c>
      <c r="K26" s="17">
        <v>3417.3510999999999</v>
      </c>
      <c r="L26" s="17">
        <v>3414.4728</v>
      </c>
      <c r="N26" s="2" t="s">
        <v>16</v>
      </c>
      <c r="O26" s="17">
        <v>13688.6772</v>
      </c>
      <c r="P26" s="17">
        <v>13672.471299999999</v>
      </c>
      <c r="Q26" s="17">
        <v>13737.027700000001</v>
      </c>
      <c r="R26" s="17">
        <v>13704.192499999999</v>
      </c>
      <c r="S26" s="17">
        <v>13793.9974</v>
      </c>
      <c r="T26" s="17">
        <v>13694.2945</v>
      </c>
      <c r="U26" s="17">
        <v>13684.084999999999</v>
      </c>
      <c r="V26" s="17">
        <v>13675.957899999999</v>
      </c>
      <c r="W26" s="17">
        <v>13704.258900000001</v>
      </c>
      <c r="X26" s="17">
        <v>13677.713900000001</v>
      </c>
    </row>
    <row r="27" spans="2:24" x14ac:dyDescent="0.25">
      <c r="B27" s="2" t="s">
        <v>17</v>
      </c>
      <c r="C27" s="17">
        <v>4329.6153000000004</v>
      </c>
      <c r="D27" s="17">
        <v>4342.3690999999999</v>
      </c>
      <c r="E27" s="17">
        <v>4329.549</v>
      </c>
      <c r="F27" s="17">
        <v>4303.9988000000003</v>
      </c>
      <c r="G27" s="17">
        <v>4306.5424999999996</v>
      </c>
      <c r="H27" s="17">
        <v>4313.5223999999998</v>
      </c>
      <c r="I27" s="17">
        <v>4310.3294999999998</v>
      </c>
      <c r="J27" s="17">
        <v>4312.9848000000002</v>
      </c>
      <c r="K27" s="17">
        <v>4315.1036999999997</v>
      </c>
      <c r="L27" s="17">
        <v>4324.8330999999998</v>
      </c>
      <c r="N27" s="2" t="s">
        <v>17</v>
      </c>
      <c r="O27" s="17">
        <v>17251.706600000001</v>
      </c>
      <c r="P27" s="17">
        <v>17235.440600000002</v>
      </c>
      <c r="Q27" s="17">
        <v>17317.0124</v>
      </c>
      <c r="R27" s="17">
        <v>17243.9846</v>
      </c>
      <c r="S27" s="17">
        <v>17239.175500000001</v>
      </c>
      <c r="T27" s="17">
        <v>17243.424599999998</v>
      </c>
      <c r="U27" s="17">
        <v>17240.315900000001</v>
      </c>
      <c r="V27" s="17">
        <v>17236.547200000001</v>
      </c>
      <c r="W27" s="17">
        <v>17235.209699999999</v>
      </c>
      <c r="X27" s="17">
        <v>17275.560600000001</v>
      </c>
    </row>
    <row r="28" spans="2:24" x14ac:dyDescent="0.25">
      <c r="B28" s="2" t="s">
        <v>18</v>
      </c>
      <c r="C28" s="17">
        <v>8418.5758000000005</v>
      </c>
      <c r="D28" s="17">
        <v>8480.9809000000005</v>
      </c>
      <c r="E28" s="17">
        <v>8563.9176000000007</v>
      </c>
      <c r="F28" s="17">
        <v>8440.9686000000002</v>
      </c>
      <c r="G28" s="17">
        <v>8373.3282999999992</v>
      </c>
      <c r="H28" s="17">
        <v>8379.4359999999997</v>
      </c>
      <c r="I28" s="17">
        <v>8474.7466000000004</v>
      </c>
      <c r="J28" s="17">
        <v>8402.5278999999991</v>
      </c>
      <c r="K28" s="17">
        <v>8457.2829999999994</v>
      </c>
      <c r="L28" s="17">
        <v>8460.9341999999997</v>
      </c>
      <c r="N28" s="2" t="s">
        <v>18</v>
      </c>
      <c r="O28" s="17">
        <v>51687.044099999999</v>
      </c>
      <c r="P28" s="17">
        <v>51737.679799999998</v>
      </c>
      <c r="Q28" s="17">
        <v>51654.754500000003</v>
      </c>
      <c r="R28" s="17">
        <v>51643.719599999997</v>
      </c>
      <c r="S28" s="17">
        <v>52127.716200000003</v>
      </c>
      <c r="T28" s="17">
        <v>51680.9133</v>
      </c>
      <c r="U28" s="17">
        <v>51636.330499999996</v>
      </c>
      <c r="V28" s="17">
        <v>51654.218000000001</v>
      </c>
      <c r="W28" s="17">
        <v>51660.530899999998</v>
      </c>
      <c r="X28" s="17">
        <v>51648.328200000004</v>
      </c>
    </row>
    <row r="29" spans="2:24" x14ac:dyDescent="0.25">
      <c r="B29" s="2" t="s">
        <v>19</v>
      </c>
      <c r="C29" s="17">
        <v>9.7721999999999998</v>
      </c>
      <c r="D29" s="17">
        <v>9.7251999999999992</v>
      </c>
      <c r="E29" s="17">
        <v>9.6128999999999998</v>
      </c>
      <c r="F29" s="17">
        <v>9.7355999999999998</v>
      </c>
      <c r="G29" s="17">
        <v>9.7052999999999994</v>
      </c>
      <c r="H29" s="17">
        <v>9.7037999999999993</v>
      </c>
      <c r="I29" s="17">
        <v>9.6868999999999996</v>
      </c>
      <c r="J29" s="17">
        <v>9.6786999999999992</v>
      </c>
      <c r="K29" s="17">
        <v>9.8688000000000002</v>
      </c>
      <c r="L29" s="17">
        <v>9.5264000000000006</v>
      </c>
      <c r="N29" s="2" t="s">
        <v>19</v>
      </c>
      <c r="O29" s="17">
        <v>20.983000000000001</v>
      </c>
      <c r="P29" s="17">
        <v>20.328499999999998</v>
      </c>
      <c r="Q29" s="17">
        <v>20.7043</v>
      </c>
      <c r="R29" s="17">
        <v>20.453099999999999</v>
      </c>
      <c r="S29" s="17">
        <v>20.6648</v>
      </c>
      <c r="T29" s="17">
        <v>20.2102</v>
      </c>
      <c r="U29" s="17">
        <v>20.317599999999999</v>
      </c>
      <c r="V29" s="17">
        <v>20.131</v>
      </c>
      <c r="W29" s="17">
        <v>20.366800000000001</v>
      </c>
      <c r="X29" s="17">
        <v>20.631</v>
      </c>
    </row>
    <row r="30" spans="2:24" x14ac:dyDescent="0.25">
      <c r="B30" s="2" t="s">
        <v>20</v>
      </c>
      <c r="C30" s="17">
        <v>6.5373000000000001</v>
      </c>
      <c r="D30" s="17">
        <v>6.5632000000000001</v>
      </c>
      <c r="E30" s="17">
        <v>6.5679999999999996</v>
      </c>
      <c r="F30" s="17">
        <v>6.5328999999999997</v>
      </c>
      <c r="G30" s="17">
        <v>6.8078000000000003</v>
      </c>
      <c r="H30" s="17">
        <v>6.4198000000000004</v>
      </c>
      <c r="I30" s="17">
        <v>6.4519000000000002</v>
      </c>
      <c r="J30" s="17">
        <v>6.4903000000000004</v>
      </c>
      <c r="K30" s="17">
        <v>6.5296000000000003</v>
      </c>
      <c r="L30" s="17">
        <v>6.9283999999999999</v>
      </c>
      <c r="N30" s="2" t="s">
        <v>20</v>
      </c>
      <c r="O30" s="17">
        <v>13.8261</v>
      </c>
      <c r="P30" s="17">
        <v>13.8879</v>
      </c>
      <c r="Q30" s="17">
        <v>13.9101</v>
      </c>
      <c r="R30" s="17">
        <v>13.902100000000001</v>
      </c>
      <c r="S30" s="17">
        <v>13.901899999999999</v>
      </c>
      <c r="T30" s="17">
        <v>13.9276</v>
      </c>
      <c r="U30" s="17">
        <v>13.8811</v>
      </c>
      <c r="V30" s="17">
        <v>13.8513</v>
      </c>
      <c r="W30" s="17">
        <v>13.9603</v>
      </c>
      <c r="X30" s="17">
        <v>13.927199999999999</v>
      </c>
    </row>
    <row r="31" spans="2:24" x14ac:dyDescent="0.25">
      <c r="B31" s="2" t="s">
        <v>21</v>
      </c>
      <c r="C31" s="18">
        <v>7.2811000000000003</v>
      </c>
      <c r="D31" s="17">
        <v>7.3605</v>
      </c>
      <c r="E31" s="17">
        <v>7.3887</v>
      </c>
      <c r="F31" s="17">
        <v>7.4939999999999998</v>
      </c>
      <c r="G31" s="17">
        <v>7.4433999999999996</v>
      </c>
      <c r="H31" s="17">
        <v>7.5669000000000004</v>
      </c>
      <c r="I31" s="17">
        <v>7.5068999999999999</v>
      </c>
      <c r="J31" s="17">
        <v>7.4619999999999997</v>
      </c>
      <c r="K31" s="17">
        <v>7.4714999999999998</v>
      </c>
      <c r="L31" s="17">
        <v>7.6576000000000004</v>
      </c>
      <c r="N31" s="2" t="s">
        <v>21</v>
      </c>
      <c r="O31" s="18">
        <v>15.7363</v>
      </c>
      <c r="P31" s="17">
        <v>15.757199999999999</v>
      </c>
      <c r="Q31" s="17">
        <v>15.7492</v>
      </c>
      <c r="R31" s="17">
        <v>15.755599999999999</v>
      </c>
      <c r="S31" s="17">
        <v>15.841699999999999</v>
      </c>
      <c r="T31" s="17">
        <v>15.246</v>
      </c>
      <c r="U31" s="17">
        <v>15.3996</v>
      </c>
      <c r="V31" s="17">
        <v>15.5908</v>
      </c>
      <c r="W31" s="17">
        <v>15.545400000000001</v>
      </c>
      <c r="X31" s="17">
        <v>15.7334</v>
      </c>
    </row>
    <row r="34" spans="2:17" x14ac:dyDescent="0.25">
      <c r="B34" s="9" t="s">
        <v>1</v>
      </c>
      <c r="C34" s="16" t="s">
        <v>22</v>
      </c>
      <c r="D34" s="12"/>
      <c r="E34" s="12"/>
      <c r="F34" s="12"/>
      <c r="G34" s="12"/>
      <c r="H34" s="13"/>
      <c r="K34" s="1" t="s">
        <v>25</v>
      </c>
      <c r="L34" s="1">
        <f>C35</f>
        <v>1000</v>
      </c>
      <c r="M34" s="1">
        <f t="shared" ref="M34:Q34" si="0">D35</f>
        <v>5000</v>
      </c>
      <c r="N34" s="1">
        <f t="shared" si="0"/>
        <v>10000</v>
      </c>
      <c r="O34" s="1">
        <f t="shared" si="0"/>
        <v>50000</v>
      </c>
      <c r="P34" s="1">
        <f t="shared" si="0"/>
        <v>100000</v>
      </c>
      <c r="Q34" s="1">
        <f t="shared" si="0"/>
        <v>200000</v>
      </c>
    </row>
    <row r="35" spans="2:17" x14ac:dyDescent="0.25">
      <c r="B35" s="10"/>
      <c r="C35" s="2">
        <v>1000</v>
      </c>
      <c r="D35" s="2">
        <v>5000</v>
      </c>
      <c r="E35" s="2">
        <v>10000</v>
      </c>
      <c r="F35" s="2">
        <v>50000</v>
      </c>
      <c r="G35" s="2">
        <v>100000</v>
      </c>
      <c r="H35" s="2">
        <v>200000</v>
      </c>
      <c r="K35" s="1" t="s">
        <v>27</v>
      </c>
      <c r="L35" s="1">
        <f>C35^2</f>
        <v>1000000</v>
      </c>
      <c r="M35" s="1">
        <f t="shared" ref="M35:Q35" si="1">D35^2</f>
        <v>25000000</v>
      </c>
      <c r="N35" s="1">
        <f t="shared" si="1"/>
        <v>100000000</v>
      </c>
      <c r="O35" s="1">
        <f t="shared" si="1"/>
        <v>2500000000</v>
      </c>
      <c r="P35" s="1">
        <f t="shared" si="1"/>
        <v>10000000000</v>
      </c>
      <c r="Q35" s="1">
        <f t="shared" si="1"/>
        <v>40000000000</v>
      </c>
    </row>
    <row r="36" spans="2:17" x14ac:dyDescent="0.25">
      <c r="B36" s="2" t="s">
        <v>16</v>
      </c>
      <c r="C36" s="17">
        <f t="shared" ref="C36:C41" si="2">IF(COUNTBLANK(C6:L6)&gt;0,"undone",TRIMMEAN(C6:L6,2/COUNT(C6:L6)))</f>
        <v>0.41299999999999998</v>
      </c>
      <c r="D36" s="17">
        <f t="shared" ref="D36:D41" si="3">IF(COUNTBLANK(O6:X6)&gt;0,"undone",TRIMMEAN(O6:X6,2/COUNT(O6:X6)))</f>
        <v>8.8618500000000004</v>
      </c>
      <c r="E36" s="17">
        <f t="shared" ref="E36:E41" si="4">IF(COUNTBLANK(C16:L16)&gt;0,"undone",TRIMMEAN(C16:L16,2/COUNT(C16:L16)))</f>
        <v>34.357725000000002</v>
      </c>
      <c r="F36" s="17">
        <f t="shared" ref="F36:F41" si="5">IF(COUNTBLANK(O16:X16)&gt;0,"undone",TRIMMEAN(O16:X16,2/COUNT(O16:X16)))</f>
        <v>855.57960000000003</v>
      </c>
      <c r="G36" s="17">
        <f t="shared" ref="G36:G41" si="6">IF(COUNTBLANK(C26:L26)&gt;0,"undone",TRIMMEAN(C26:L26,2/COUNT(C26:L26)))</f>
        <v>3419.2455375</v>
      </c>
      <c r="H36" s="17">
        <f t="shared" ref="H36:H41" si="7">IF(COUNTBLANK(O26:X26)&gt;0,"undone",TRIMMEAN(O26:X26,2/COUNT(O26:X26)))</f>
        <v>13695.775949999999</v>
      </c>
      <c r="K36" s="1" t="s">
        <v>26</v>
      </c>
      <c r="L36" s="1">
        <f>C35*LOG(C35)</f>
        <v>3000</v>
      </c>
      <c r="M36" s="1">
        <f t="shared" ref="M36:Q36" si="8">D35*LOG(D35)</f>
        <v>18494.850021680093</v>
      </c>
      <c r="N36" s="1">
        <f t="shared" si="8"/>
        <v>40000</v>
      </c>
      <c r="O36" s="1">
        <f t="shared" si="8"/>
        <v>234948.50021680092</v>
      </c>
      <c r="P36" s="1">
        <f t="shared" si="8"/>
        <v>500000</v>
      </c>
      <c r="Q36" s="1">
        <f t="shared" si="8"/>
        <v>1060205.9991327962</v>
      </c>
    </row>
    <row r="37" spans="2:17" x14ac:dyDescent="0.25">
      <c r="B37" s="2" t="s">
        <v>17</v>
      </c>
      <c r="C37" s="17">
        <f t="shared" si="2"/>
        <v>0.47820000000000001</v>
      </c>
      <c r="D37" s="17">
        <f t="shared" si="3"/>
        <v>11.0277625</v>
      </c>
      <c r="E37" s="17">
        <f t="shared" si="4"/>
        <v>44.938124999999999</v>
      </c>
      <c r="F37" s="17">
        <f t="shared" si="5"/>
        <v>1085.3177500000002</v>
      </c>
      <c r="G37" s="17">
        <f t="shared" si="6"/>
        <v>4317.8100374999995</v>
      </c>
      <c r="H37" s="17">
        <f t="shared" si="7"/>
        <v>17245.76945</v>
      </c>
    </row>
    <row r="38" spans="2:17" x14ac:dyDescent="0.25">
      <c r="B38" s="2" t="s">
        <v>18</v>
      </c>
      <c r="C38" s="17">
        <f t="shared" si="2"/>
        <v>0.83972499999999994</v>
      </c>
      <c r="D38" s="17">
        <f t="shared" si="3"/>
        <v>21.038600000000002</v>
      </c>
      <c r="E38" s="17">
        <f t="shared" si="4"/>
        <v>81.253350000000012</v>
      </c>
      <c r="F38" s="17">
        <f t="shared" si="5"/>
        <v>2005.4481500000002</v>
      </c>
      <c r="G38" s="17">
        <f t="shared" si="6"/>
        <v>8439.4316250000011</v>
      </c>
      <c r="H38" s="17">
        <f t="shared" si="7"/>
        <v>51670.898549999998</v>
      </c>
    </row>
    <row r="39" spans="2:17" x14ac:dyDescent="0.25">
      <c r="B39" s="2" t="s">
        <v>19</v>
      </c>
      <c r="C39" s="17">
        <f t="shared" si="2"/>
        <v>4.0387500000000007E-2</v>
      </c>
      <c r="D39" s="17">
        <f t="shared" si="3"/>
        <v>0.326625</v>
      </c>
      <c r="E39" s="17">
        <f t="shared" si="4"/>
        <v>0.78006249999999999</v>
      </c>
      <c r="F39" s="17">
        <f t="shared" si="5"/>
        <v>4.5922625000000004</v>
      </c>
      <c r="G39" s="17">
        <f t="shared" si="6"/>
        <v>9.7025749999999995</v>
      </c>
      <c r="H39" s="17">
        <f>IF(COUNTBLANK(O29:X29)&gt;0,"undone",TRIMMEAN(O29:X29,2/COUNT(O29:X29)))</f>
        <v>20.4595375</v>
      </c>
      <c r="J39" s="7"/>
    </row>
    <row r="40" spans="2:17" x14ac:dyDescent="0.25">
      <c r="B40" s="2" t="s">
        <v>20</v>
      </c>
      <c r="C40" s="17">
        <f t="shared" si="2"/>
        <v>2.1337500000000002E-2</v>
      </c>
      <c r="D40" s="17">
        <f t="shared" si="3"/>
        <v>0.21843750000000001</v>
      </c>
      <c r="E40" s="17">
        <f t="shared" si="4"/>
        <v>0.5294875</v>
      </c>
      <c r="F40" s="17">
        <f t="shared" si="5"/>
        <v>3.0961125000000003</v>
      </c>
      <c r="G40" s="17">
        <f t="shared" si="6"/>
        <v>6.5601250000000002</v>
      </c>
      <c r="H40" s="17">
        <f t="shared" si="7"/>
        <v>13.89865</v>
      </c>
    </row>
    <row r="41" spans="2:17" x14ac:dyDescent="0.25">
      <c r="B41" s="2" t="s">
        <v>21</v>
      </c>
      <c r="C41" s="17">
        <f t="shared" si="2"/>
        <v>5.20375E-2</v>
      </c>
      <c r="D41" s="17">
        <f t="shared" si="3"/>
        <v>0.28915000000000002</v>
      </c>
      <c r="E41" s="17">
        <f t="shared" si="4"/>
        <v>0.62286249999999999</v>
      </c>
      <c r="F41" s="17">
        <f t="shared" si="5"/>
        <v>3.5470000000000002</v>
      </c>
      <c r="G41" s="17">
        <f t="shared" si="6"/>
        <v>7.4617375000000008</v>
      </c>
      <c r="H41" s="17">
        <f t="shared" si="7"/>
        <v>15.6584375</v>
      </c>
    </row>
    <row r="44" spans="2:17" ht="27.6" x14ac:dyDescent="0.25">
      <c r="B44" s="1" t="s">
        <v>23</v>
      </c>
      <c r="F44" s="8" t="s">
        <v>24</v>
      </c>
    </row>
  </sheetData>
  <mergeCells count="15">
    <mergeCell ref="N4:N5"/>
    <mergeCell ref="O4:X4"/>
    <mergeCell ref="A1:B1"/>
    <mergeCell ref="B34:B35"/>
    <mergeCell ref="B4:B5"/>
    <mergeCell ref="C4:L4"/>
    <mergeCell ref="C34:H34"/>
    <mergeCell ref="N24:N25"/>
    <mergeCell ref="O24:X24"/>
    <mergeCell ref="B14:B15"/>
    <mergeCell ref="C14:L14"/>
    <mergeCell ref="N14:N15"/>
    <mergeCell ref="O14:X14"/>
    <mergeCell ref="B24:B25"/>
    <mergeCell ref="C24:L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8D11-018D-40CA-B4EF-A72BF40648B7}">
  <dimension ref="A1:X44"/>
  <sheetViews>
    <sheetView topLeftCell="A62" zoomScale="59" zoomScaleNormal="190" workbookViewId="0">
      <selection activeCell="Q75" sqref="Q75"/>
    </sheetView>
  </sheetViews>
  <sheetFormatPr defaultRowHeight="13.8" x14ac:dyDescent="0.25"/>
  <cols>
    <col min="1" max="1" width="8.796875" style="1"/>
    <col min="2" max="2" width="20.796875" style="1" customWidth="1"/>
    <col min="3" max="4" width="8.8984375" style="1" bestFit="1" customWidth="1"/>
    <col min="5" max="5" width="9.5" style="1" customWidth="1"/>
    <col min="6" max="6" width="9.59765625" style="1" customWidth="1"/>
    <col min="7" max="7" width="9.8984375" style="1" customWidth="1"/>
    <col min="8" max="8" width="10.59765625" style="1" customWidth="1"/>
    <col min="9" max="9" width="9.5" style="1" bestFit="1" customWidth="1"/>
    <col min="10" max="11" width="9.5" style="1" customWidth="1"/>
    <col min="12" max="12" width="9.5" style="1" bestFit="1" customWidth="1"/>
    <col min="13" max="13" width="8.796875" style="1"/>
    <col min="14" max="14" width="20.796875" style="1" bestFit="1" customWidth="1"/>
    <col min="15" max="18" width="10.5" style="1" bestFit="1" customWidth="1"/>
    <col min="19" max="24" width="9.5" style="1" bestFit="1" customWidth="1"/>
    <col min="25" max="16384" width="8.796875" style="1"/>
  </cols>
  <sheetData>
    <row r="1" spans="1:24" x14ac:dyDescent="0.25">
      <c r="A1" s="14" t="s">
        <v>14</v>
      </c>
      <c r="B1" s="15"/>
    </row>
    <row r="3" spans="1:24" x14ac:dyDescent="0.25">
      <c r="B3" s="4" t="s">
        <v>12</v>
      </c>
      <c r="C3" s="1">
        <f>C35</f>
        <v>1000</v>
      </c>
      <c r="N3" s="4" t="s">
        <v>12</v>
      </c>
      <c r="O3" s="1">
        <f>D35</f>
        <v>5000</v>
      </c>
    </row>
    <row r="4" spans="1:24" x14ac:dyDescent="0.25">
      <c r="B4" s="9" t="s">
        <v>1</v>
      </c>
      <c r="C4" s="11" t="s">
        <v>15</v>
      </c>
      <c r="D4" s="12"/>
      <c r="E4" s="12"/>
      <c r="F4" s="12"/>
      <c r="G4" s="12"/>
      <c r="H4" s="12"/>
      <c r="I4" s="12"/>
      <c r="J4" s="12"/>
      <c r="K4" s="12"/>
      <c r="L4" s="13"/>
      <c r="N4" s="9" t="s">
        <v>1</v>
      </c>
      <c r="O4" s="11" t="s">
        <v>15</v>
      </c>
      <c r="P4" s="12"/>
      <c r="Q4" s="12"/>
      <c r="R4" s="12"/>
      <c r="S4" s="12"/>
      <c r="T4" s="12"/>
      <c r="U4" s="12"/>
      <c r="V4" s="12"/>
      <c r="W4" s="12"/>
      <c r="X4" s="13"/>
    </row>
    <row r="5" spans="1:24" x14ac:dyDescent="0.25">
      <c r="B5" s="10"/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N5" s="10"/>
      <c r="O5" s="5" t="s">
        <v>2</v>
      </c>
      <c r="P5" s="6" t="s">
        <v>3</v>
      </c>
      <c r="Q5" s="6" t="s">
        <v>4</v>
      </c>
      <c r="R5" s="6" t="s">
        <v>5</v>
      </c>
      <c r="S5" s="6" t="s">
        <v>6</v>
      </c>
      <c r="T5" s="6" t="s">
        <v>7</v>
      </c>
      <c r="U5" s="6" t="s">
        <v>8</v>
      </c>
      <c r="V5" s="6" t="s">
        <v>9</v>
      </c>
      <c r="W5" s="6" t="s">
        <v>10</v>
      </c>
      <c r="X5" s="6" t="s">
        <v>11</v>
      </c>
    </row>
    <row r="6" spans="1:24" x14ac:dyDescent="0.25">
      <c r="B6" s="2" t="s">
        <v>16</v>
      </c>
      <c r="C6" s="17">
        <v>1.5E-3</v>
      </c>
      <c r="D6" s="17">
        <v>1.5E-3</v>
      </c>
      <c r="E6" s="17">
        <v>1.4E-3</v>
      </c>
      <c r="F6" s="17">
        <v>1.5E-3</v>
      </c>
      <c r="G6" s="17">
        <v>1.5E-3</v>
      </c>
      <c r="H6" s="17">
        <v>1.5E-3</v>
      </c>
      <c r="I6" s="17">
        <v>1.5E-3</v>
      </c>
      <c r="J6" s="17">
        <v>1.5E-3</v>
      </c>
      <c r="K6" s="17">
        <v>1.5E-3</v>
      </c>
      <c r="L6" s="17">
        <v>1.5E-3</v>
      </c>
      <c r="N6" s="2" t="s">
        <v>16</v>
      </c>
      <c r="O6" s="17">
        <v>7.4000000000000003E-3</v>
      </c>
      <c r="P6" s="17">
        <v>7.4000000000000003E-3</v>
      </c>
      <c r="Q6" s="17">
        <v>9.9000000000000008E-3</v>
      </c>
      <c r="R6" s="17">
        <v>1.23E-2</v>
      </c>
      <c r="S6" s="17">
        <v>8.5000000000000006E-3</v>
      </c>
      <c r="T6" s="17">
        <v>8.0999999999999996E-3</v>
      </c>
      <c r="U6" s="17">
        <v>8.0999999999999996E-3</v>
      </c>
      <c r="V6" s="17">
        <v>8.0000000000000002E-3</v>
      </c>
      <c r="W6" s="17">
        <v>8.0999999999999996E-3</v>
      </c>
      <c r="X6" s="17">
        <v>8.0000000000000002E-3</v>
      </c>
    </row>
    <row r="7" spans="1:24" x14ac:dyDescent="0.25">
      <c r="B7" s="2" t="s">
        <v>17</v>
      </c>
      <c r="C7" s="17">
        <v>0.43559999999999999</v>
      </c>
      <c r="D7" s="17">
        <v>0.42580000000000001</v>
      </c>
      <c r="E7" s="17">
        <v>0.45329999999999998</v>
      </c>
      <c r="F7" s="17">
        <v>0.42599999999999999</v>
      </c>
      <c r="G7" s="17">
        <v>0.43330000000000002</v>
      </c>
      <c r="H7" s="17">
        <v>0.42609999999999998</v>
      </c>
      <c r="I7" s="17">
        <v>0.43909999999999999</v>
      </c>
      <c r="J7" s="17">
        <v>0.44090000000000001</v>
      </c>
      <c r="K7" s="17">
        <v>0.43290000000000001</v>
      </c>
      <c r="L7" s="17">
        <v>0.44259999999999999</v>
      </c>
      <c r="N7" s="2" t="s">
        <v>17</v>
      </c>
      <c r="O7" s="17">
        <v>10.748799999999999</v>
      </c>
      <c r="P7" s="17">
        <v>10.8012</v>
      </c>
      <c r="Q7" s="17">
        <v>10.9245</v>
      </c>
      <c r="R7" s="17">
        <v>10.7447</v>
      </c>
      <c r="S7" s="17">
        <v>10.8171</v>
      </c>
      <c r="T7" s="17">
        <v>10.8392</v>
      </c>
      <c r="U7" s="17">
        <v>10.7844</v>
      </c>
      <c r="V7" s="17">
        <v>10.829700000000001</v>
      </c>
      <c r="W7" s="17">
        <v>10.821</v>
      </c>
      <c r="X7" s="17">
        <v>10.836</v>
      </c>
    </row>
    <row r="8" spans="1:24" x14ac:dyDescent="0.25">
      <c r="B8" s="2" t="s">
        <v>18</v>
      </c>
      <c r="C8" s="17">
        <v>0.50990000000000002</v>
      </c>
      <c r="D8" s="17">
        <v>0.51459999999999995</v>
      </c>
      <c r="E8" s="17">
        <v>0.50639999999999996</v>
      </c>
      <c r="F8" s="17">
        <v>0.5171</v>
      </c>
      <c r="G8" s="17">
        <v>0.50439999999999996</v>
      </c>
      <c r="H8" s="17">
        <v>0.50949999999999995</v>
      </c>
      <c r="I8" s="17">
        <v>0.50190000000000001</v>
      </c>
      <c r="J8" s="17">
        <v>0.50349999999999995</v>
      </c>
      <c r="K8" s="17">
        <v>0.50490000000000002</v>
      </c>
      <c r="L8" s="17">
        <v>0.50629999999999997</v>
      </c>
      <c r="N8" s="2" t="s">
        <v>18</v>
      </c>
      <c r="O8" s="17">
        <v>12.5115</v>
      </c>
      <c r="P8" s="17">
        <v>12.610300000000001</v>
      </c>
      <c r="Q8" s="17">
        <v>12.4602</v>
      </c>
      <c r="R8" s="17">
        <v>12.4305</v>
      </c>
      <c r="S8" s="17">
        <v>12.606400000000001</v>
      </c>
      <c r="T8" s="17">
        <v>12.488300000000001</v>
      </c>
      <c r="U8" s="17">
        <v>12.674300000000001</v>
      </c>
      <c r="V8" s="17">
        <v>12.350300000000001</v>
      </c>
      <c r="W8" s="17">
        <v>12.412599999999999</v>
      </c>
      <c r="X8" s="17">
        <v>12.4892</v>
      </c>
    </row>
    <row r="9" spans="1:24" x14ac:dyDescent="0.25">
      <c r="B9" s="2" t="s">
        <v>19</v>
      </c>
      <c r="C9" s="17">
        <v>3.61E-2</v>
      </c>
      <c r="D9" s="17">
        <v>3.4799999999999998E-2</v>
      </c>
      <c r="E9" s="17">
        <v>3.4700000000000002E-2</v>
      </c>
      <c r="F9" s="17">
        <v>3.4700000000000002E-2</v>
      </c>
      <c r="G9" s="17">
        <v>3.4799999999999998E-2</v>
      </c>
      <c r="H9" s="17">
        <v>3.4799999999999998E-2</v>
      </c>
      <c r="I9" s="17">
        <v>3.4700000000000002E-2</v>
      </c>
      <c r="J9" s="17">
        <v>3.4700000000000002E-2</v>
      </c>
      <c r="K9" s="17">
        <v>3.4700000000000002E-2</v>
      </c>
      <c r="L9" s="17">
        <v>3.4700000000000002E-2</v>
      </c>
      <c r="N9" s="2" t="s">
        <v>19</v>
      </c>
      <c r="O9" s="17">
        <v>0.2157</v>
      </c>
      <c r="P9" s="17">
        <v>0.2092</v>
      </c>
      <c r="Q9" s="17">
        <v>0.2077</v>
      </c>
      <c r="R9" s="17">
        <v>0.20749999999999999</v>
      </c>
      <c r="S9" s="17">
        <v>0.2114</v>
      </c>
      <c r="T9" s="17">
        <v>0.21279999999999999</v>
      </c>
      <c r="U9" s="17">
        <v>0.20660000000000001</v>
      </c>
      <c r="V9" s="17">
        <v>0.20669999999999999</v>
      </c>
      <c r="W9" s="17">
        <v>0.20619999999999999</v>
      </c>
      <c r="X9" s="17">
        <v>0.20680000000000001</v>
      </c>
    </row>
    <row r="10" spans="1:24" x14ac:dyDescent="0.25">
      <c r="B10" s="2" t="s">
        <v>20</v>
      </c>
      <c r="C10" s="17">
        <v>0.40189999999999998</v>
      </c>
      <c r="D10" s="17">
        <v>0.39910000000000001</v>
      </c>
      <c r="E10" s="17">
        <v>0.39560000000000001</v>
      </c>
      <c r="F10" s="17">
        <v>0.3992</v>
      </c>
      <c r="G10" s="17">
        <v>0.39100000000000001</v>
      </c>
      <c r="H10" s="17">
        <v>0.3947</v>
      </c>
      <c r="I10" s="17">
        <v>0.39290000000000003</v>
      </c>
      <c r="J10" s="17">
        <v>0.3911</v>
      </c>
      <c r="K10" s="17">
        <v>0.40760000000000002</v>
      </c>
      <c r="L10" s="17">
        <v>0.39150000000000001</v>
      </c>
      <c r="N10" s="2" t="s">
        <v>20</v>
      </c>
      <c r="O10" s="17">
        <v>9.5587</v>
      </c>
      <c r="P10" s="17">
        <v>9.5892999999999997</v>
      </c>
      <c r="Q10" s="17">
        <v>9.27</v>
      </c>
      <c r="R10" s="17">
        <v>9.5775000000000006</v>
      </c>
      <c r="S10" s="17">
        <v>9.5723000000000003</v>
      </c>
      <c r="T10" s="17">
        <v>9.5473999999999997</v>
      </c>
      <c r="U10" s="17">
        <v>9.8131000000000004</v>
      </c>
      <c r="V10" s="17">
        <v>9.3363999999999994</v>
      </c>
      <c r="W10" s="17">
        <v>9.4291</v>
      </c>
      <c r="X10" s="17">
        <v>9.9611999999999998</v>
      </c>
    </row>
    <row r="11" spans="1:24" x14ac:dyDescent="0.25">
      <c r="B11" s="2" t="s">
        <v>21</v>
      </c>
      <c r="C11" s="18">
        <v>2.7900000000000001E-2</v>
      </c>
      <c r="D11" s="17">
        <v>2.7099999999999999E-2</v>
      </c>
      <c r="E11" s="17">
        <v>2.64E-2</v>
      </c>
      <c r="F11" s="17">
        <v>2.5700000000000001E-2</v>
      </c>
      <c r="G11" s="17">
        <v>2.8899999999999999E-2</v>
      </c>
      <c r="H11" s="17">
        <v>2.58E-2</v>
      </c>
      <c r="I11" s="17">
        <v>2.6200000000000001E-2</v>
      </c>
      <c r="J11" s="17">
        <v>2.5999999999999999E-2</v>
      </c>
      <c r="K11" s="17">
        <v>2.58E-2</v>
      </c>
      <c r="L11" s="17">
        <v>2.7E-2</v>
      </c>
      <c r="N11" s="2" t="s">
        <v>21</v>
      </c>
      <c r="O11" s="18">
        <v>0.14169999999999999</v>
      </c>
      <c r="P11" s="17">
        <v>0.13730000000000001</v>
      </c>
      <c r="Q11" s="17">
        <v>0.14050000000000001</v>
      </c>
      <c r="R11" s="17">
        <v>0.15920000000000001</v>
      </c>
      <c r="S11" s="17">
        <v>0.14249999999999999</v>
      </c>
      <c r="T11" s="17">
        <v>0.13730000000000001</v>
      </c>
      <c r="U11" s="17">
        <v>0.13700000000000001</v>
      </c>
      <c r="V11" s="17">
        <v>0.13869999999999999</v>
      </c>
      <c r="W11" s="17">
        <v>0.1431</v>
      </c>
      <c r="X11" s="17">
        <v>0.13739999999999999</v>
      </c>
    </row>
    <row r="13" spans="1:24" x14ac:dyDescent="0.25">
      <c r="B13" s="4" t="s">
        <v>12</v>
      </c>
      <c r="C13" s="1">
        <f>E35</f>
        <v>10000</v>
      </c>
      <c r="N13" s="4" t="s">
        <v>12</v>
      </c>
      <c r="O13" s="1">
        <f>F35</f>
        <v>50000</v>
      </c>
    </row>
    <row r="14" spans="1:24" x14ac:dyDescent="0.25">
      <c r="B14" s="9" t="s">
        <v>1</v>
      </c>
      <c r="C14" s="11" t="s">
        <v>15</v>
      </c>
      <c r="D14" s="12"/>
      <c r="E14" s="12"/>
      <c r="F14" s="12"/>
      <c r="G14" s="12"/>
      <c r="H14" s="12"/>
      <c r="I14" s="12"/>
      <c r="J14" s="12"/>
      <c r="K14" s="12"/>
      <c r="L14" s="13"/>
      <c r="N14" s="9" t="s">
        <v>1</v>
      </c>
      <c r="O14" s="11" t="s">
        <v>15</v>
      </c>
      <c r="P14" s="12"/>
      <c r="Q14" s="12"/>
      <c r="R14" s="12"/>
      <c r="S14" s="12"/>
      <c r="T14" s="12"/>
      <c r="U14" s="12"/>
      <c r="V14" s="12"/>
      <c r="W14" s="12"/>
      <c r="X14" s="13"/>
    </row>
    <row r="15" spans="1:24" x14ac:dyDescent="0.25">
      <c r="B15" s="10"/>
      <c r="C15" s="5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  <c r="K15" s="6" t="s">
        <v>10</v>
      </c>
      <c r="L15" s="6" t="s">
        <v>11</v>
      </c>
      <c r="N15" s="10"/>
      <c r="O15" s="5" t="s">
        <v>2</v>
      </c>
      <c r="P15" s="6" t="s">
        <v>3</v>
      </c>
      <c r="Q15" s="6" t="s">
        <v>4</v>
      </c>
      <c r="R15" s="6" t="s">
        <v>5</v>
      </c>
      <c r="S15" s="6" t="s">
        <v>6</v>
      </c>
      <c r="T15" s="6" t="s">
        <v>7</v>
      </c>
      <c r="U15" s="6" t="s">
        <v>8</v>
      </c>
      <c r="V15" s="6" t="s">
        <v>9</v>
      </c>
      <c r="W15" s="6" t="s">
        <v>10</v>
      </c>
      <c r="X15" s="6" t="s">
        <v>11</v>
      </c>
    </row>
    <row r="16" spans="1:24" x14ac:dyDescent="0.25">
      <c r="B16" s="2" t="s">
        <v>16</v>
      </c>
      <c r="C16" s="17">
        <v>1.44E-2</v>
      </c>
      <c r="D16" s="17">
        <v>1.4500000000000001E-2</v>
      </c>
      <c r="E16" s="17">
        <v>1.44E-2</v>
      </c>
      <c r="F16" s="17">
        <v>1.4500000000000001E-2</v>
      </c>
      <c r="G16" s="17">
        <v>1.44E-2</v>
      </c>
      <c r="H16" s="17">
        <v>1.4500000000000001E-2</v>
      </c>
      <c r="I16" s="17">
        <v>1.44E-2</v>
      </c>
      <c r="J16" s="17">
        <v>1.44E-2</v>
      </c>
      <c r="K16" s="17">
        <v>1.4500000000000001E-2</v>
      </c>
      <c r="L16" s="17">
        <v>1.4500000000000001E-2</v>
      </c>
      <c r="N16" s="2" t="s">
        <v>16</v>
      </c>
      <c r="O16" s="17">
        <v>7.4399999999999994E-2</v>
      </c>
      <c r="P16" s="17">
        <v>7.4499999999999997E-2</v>
      </c>
      <c r="Q16" s="17">
        <v>7.4399999999999994E-2</v>
      </c>
      <c r="R16" s="17">
        <v>7.4399999999999994E-2</v>
      </c>
      <c r="S16" s="17">
        <v>7.4499999999999997E-2</v>
      </c>
      <c r="T16" s="17">
        <v>7.4499999999999997E-2</v>
      </c>
      <c r="U16" s="17">
        <v>7.4399999999999994E-2</v>
      </c>
      <c r="V16" s="17">
        <v>8.1100000000000005E-2</v>
      </c>
      <c r="W16" s="17">
        <v>8.1000000000000003E-2</v>
      </c>
      <c r="X16" s="17">
        <v>8.09E-2</v>
      </c>
    </row>
    <row r="17" spans="2:24" x14ac:dyDescent="0.25">
      <c r="B17" s="2" t="s">
        <v>17</v>
      </c>
      <c r="C17" s="17">
        <v>42.5931</v>
      </c>
      <c r="D17" s="17">
        <v>42.222200000000001</v>
      </c>
      <c r="E17" s="17">
        <v>42.721299999999999</v>
      </c>
      <c r="F17" s="17">
        <v>43.354799999999997</v>
      </c>
      <c r="G17" s="17">
        <v>43.289299999999997</v>
      </c>
      <c r="H17" s="17">
        <v>43.209400000000002</v>
      </c>
      <c r="I17" s="17">
        <v>43.228400000000001</v>
      </c>
      <c r="J17" s="17">
        <v>43.273600000000002</v>
      </c>
      <c r="K17" s="17">
        <v>43.298099999999998</v>
      </c>
      <c r="L17" s="17">
        <v>43.370600000000003</v>
      </c>
      <c r="N17" s="2" t="s">
        <v>17</v>
      </c>
      <c r="O17" s="17">
        <v>1079.1220000000001</v>
      </c>
      <c r="P17" s="17">
        <v>1075.9969000000001</v>
      </c>
      <c r="Q17" s="17">
        <v>1071.9313999999999</v>
      </c>
      <c r="R17" s="17">
        <v>1082.0856000000001</v>
      </c>
      <c r="S17" s="17">
        <v>1074.9355</v>
      </c>
      <c r="T17" s="17">
        <v>1077.7251000000001</v>
      </c>
      <c r="U17" s="17">
        <v>1071.0320999999999</v>
      </c>
      <c r="V17" s="17">
        <v>1096.0050000000001</v>
      </c>
      <c r="W17" s="17">
        <v>1076.4385</v>
      </c>
      <c r="X17" s="17">
        <v>1071.6918000000001</v>
      </c>
    </row>
    <row r="18" spans="2:24" x14ac:dyDescent="0.25">
      <c r="B18" s="2" t="s">
        <v>18</v>
      </c>
      <c r="C18" s="17">
        <v>50.485300000000002</v>
      </c>
      <c r="D18" s="17">
        <v>49.831200000000003</v>
      </c>
      <c r="E18" s="17">
        <v>49.684100000000001</v>
      </c>
      <c r="F18" s="17">
        <v>49.667499999999997</v>
      </c>
      <c r="G18" s="17">
        <v>49.985799999999998</v>
      </c>
      <c r="H18" s="17">
        <v>50.158700000000003</v>
      </c>
      <c r="I18" s="17">
        <v>50.2136</v>
      </c>
      <c r="J18" s="17">
        <v>50.349200000000003</v>
      </c>
      <c r="K18" s="17">
        <v>49.578499999999998</v>
      </c>
      <c r="L18" s="17">
        <v>50.870399999999997</v>
      </c>
      <c r="N18" s="2" t="s">
        <v>18</v>
      </c>
      <c r="O18" s="17">
        <v>1252.3689999999999</v>
      </c>
      <c r="P18" s="17">
        <v>1256.0228</v>
      </c>
      <c r="Q18" s="17">
        <v>1263.6605999999999</v>
      </c>
      <c r="R18" s="17">
        <v>1256.3661999999999</v>
      </c>
      <c r="S18" s="17">
        <v>1255.4146000000001</v>
      </c>
      <c r="T18" s="17">
        <v>1261.8101999999999</v>
      </c>
      <c r="U18" s="17">
        <v>1257.741</v>
      </c>
      <c r="V18" s="17">
        <v>1250.4068</v>
      </c>
      <c r="W18" s="17">
        <v>1277.9914000000001</v>
      </c>
      <c r="X18" s="17">
        <v>1248.7271000000001</v>
      </c>
    </row>
    <row r="19" spans="2:24" x14ac:dyDescent="0.25">
      <c r="B19" s="2" t="s">
        <v>19</v>
      </c>
      <c r="C19" s="17">
        <v>0.43880000000000002</v>
      </c>
      <c r="D19" s="17">
        <v>0.44390000000000002</v>
      </c>
      <c r="E19" s="17">
        <v>0.4355</v>
      </c>
      <c r="F19" s="17">
        <v>0.44109999999999999</v>
      </c>
      <c r="G19" s="17">
        <v>0.43569999999999998</v>
      </c>
      <c r="H19" s="17">
        <v>0.43559999999999999</v>
      </c>
      <c r="I19" s="17">
        <v>0.44330000000000003</v>
      </c>
      <c r="J19" s="17">
        <v>0.43319999999999997</v>
      </c>
      <c r="K19" s="17">
        <v>0.43790000000000001</v>
      </c>
      <c r="L19" s="17">
        <v>0.43330000000000002</v>
      </c>
      <c r="N19" s="2" t="s">
        <v>19</v>
      </c>
      <c r="O19" s="17">
        <v>2.5139999999999998</v>
      </c>
      <c r="P19" s="17">
        <v>2.4918999999999998</v>
      </c>
      <c r="Q19" s="17">
        <v>2.5436999999999999</v>
      </c>
      <c r="R19" s="17">
        <v>2.5266999999999999</v>
      </c>
      <c r="S19" s="17">
        <v>2.4895999999999998</v>
      </c>
      <c r="T19" s="17">
        <v>2.4988999999999999</v>
      </c>
      <c r="U19" s="17">
        <v>2.5051000000000001</v>
      </c>
      <c r="V19" s="17">
        <v>2.4847000000000001</v>
      </c>
      <c r="W19" s="17">
        <v>2.4996</v>
      </c>
      <c r="X19" s="17">
        <v>2.8769</v>
      </c>
    </row>
    <row r="20" spans="2:24" x14ac:dyDescent="0.25">
      <c r="B20" s="2" t="s">
        <v>20</v>
      </c>
      <c r="C20" s="17">
        <v>38.182499999999997</v>
      </c>
      <c r="D20" s="17">
        <v>38.217300000000002</v>
      </c>
      <c r="E20" s="17">
        <v>38.386499999999998</v>
      </c>
      <c r="F20" s="17">
        <v>37.682299999999998</v>
      </c>
      <c r="G20" s="17">
        <v>37.755099999999999</v>
      </c>
      <c r="H20" s="17">
        <v>38.215400000000002</v>
      </c>
      <c r="I20" s="17">
        <v>38.671100000000003</v>
      </c>
      <c r="J20" s="17">
        <v>38.061500000000002</v>
      </c>
      <c r="K20" s="17">
        <v>38.108400000000003</v>
      </c>
      <c r="L20" s="17">
        <v>37.979100000000003</v>
      </c>
      <c r="N20" s="2" t="s">
        <v>20</v>
      </c>
      <c r="O20" s="17">
        <v>949.14869999999996</v>
      </c>
      <c r="P20" s="17">
        <v>949.77880000000005</v>
      </c>
      <c r="Q20" s="17">
        <v>950.4633</v>
      </c>
      <c r="R20" s="17">
        <v>950.04150000000004</v>
      </c>
      <c r="S20" s="17">
        <v>954.2192</v>
      </c>
      <c r="T20" s="17">
        <v>949.87919999999997</v>
      </c>
      <c r="U20" s="17">
        <v>949.83230000000003</v>
      </c>
      <c r="V20" s="17">
        <v>952.32380000000001</v>
      </c>
      <c r="W20" s="17">
        <v>950.07640000000004</v>
      </c>
      <c r="X20" s="17">
        <v>950.53279999999995</v>
      </c>
    </row>
    <row r="21" spans="2:24" x14ac:dyDescent="0.25">
      <c r="B21" s="2" t="s">
        <v>21</v>
      </c>
      <c r="C21" s="18">
        <v>0.29339999999999999</v>
      </c>
      <c r="D21" s="17">
        <v>0.29380000000000001</v>
      </c>
      <c r="E21" s="17">
        <v>0.30349999999999999</v>
      </c>
      <c r="F21" s="17">
        <v>0.32029999999999997</v>
      </c>
      <c r="G21" s="17">
        <v>0.30020000000000002</v>
      </c>
      <c r="H21" s="17">
        <v>0.28960000000000002</v>
      </c>
      <c r="I21" s="17">
        <v>0.29770000000000002</v>
      </c>
      <c r="J21" s="17">
        <v>0.30549999999999999</v>
      </c>
      <c r="K21" s="17">
        <v>0.29530000000000001</v>
      </c>
      <c r="L21" s="17">
        <v>0.29239999999999999</v>
      </c>
      <c r="N21" s="2" t="s">
        <v>21</v>
      </c>
      <c r="O21" s="18">
        <v>1.6547000000000001</v>
      </c>
      <c r="P21" s="17">
        <v>1.5423</v>
      </c>
      <c r="Q21" s="17">
        <v>1.5646</v>
      </c>
      <c r="R21" s="17">
        <v>1.9454</v>
      </c>
      <c r="S21" s="17">
        <v>1.5169999999999999</v>
      </c>
      <c r="T21" s="17">
        <v>1.5305</v>
      </c>
      <c r="U21" s="17">
        <v>1.4986999999999999</v>
      </c>
      <c r="V21" s="17">
        <v>1.5465</v>
      </c>
      <c r="W21" s="17">
        <v>1.5425</v>
      </c>
      <c r="X21" s="17">
        <v>1.5436000000000001</v>
      </c>
    </row>
    <row r="23" spans="2:24" x14ac:dyDescent="0.25">
      <c r="B23" s="4" t="s">
        <v>12</v>
      </c>
      <c r="C23" s="1">
        <f>G35</f>
        <v>100000</v>
      </c>
      <c r="N23" s="4" t="s">
        <v>12</v>
      </c>
      <c r="O23" s="1">
        <f>H35</f>
        <v>200000</v>
      </c>
    </row>
    <row r="24" spans="2:24" x14ac:dyDescent="0.25">
      <c r="B24" s="9" t="s">
        <v>1</v>
      </c>
      <c r="C24" s="11" t="s">
        <v>15</v>
      </c>
      <c r="D24" s="12"/>
      <c r="E24" s="12"/>
      <c r="F24" s="12"/>
      <c r="G24" s="12"/>
      <c r="H24" s="12"/>
      <c r="I24" s="12"/>
      <c r="J24" s="12"/>
      <c r="K24" s="12"/>
      <c r="L24" s="13"/>
      <c r="N24" s="9" t="s">
        <v>1</v>
      </c>
      <c r="O24" s="11" t="s">
        <v>15</v>
      </c>
      <c r="P24" s="12"/>
      <c r="Q24" s="12"/>
      <c r="R24" s="12"/>
      <c r="S24" s="12"/>
      <c r="T24" s="12"/>
      <c r="U24" s="12"/>
      <c r="V24" s="12"/>
      <c r="W24" s="12"/>
      <c r="X24" s="13"/>
    </row>
    <row r="25" spans="2:24" x14ac:dyDescent="0.25">
      <c r="B25" s="10"/>
      <c r="C25" s="5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6" t="s">
        <v>8</v>
      </c>
      <c r="J25" s="6" t="s">
        <v>9</v>
      </c>
      <c r="K25" s="6" t="s">
        <v>10</v>
      </c>
      <c r="L25" s="6" t="s">
        <v>11</v>
      </c>
      <c r="N25" s="10"/>
      <c r="O25" s="5" t="s">
        <v>2</v>
      </c>
      <c r="P25" s="6" t="s">
        <v>3</v>
      </c>
      <c r="Q25" s="6" t="s">
        <v>4</v>
      </c>
      <c r="R25" s="6" t="s">
        <v>5</v>
      </c>
      <c r="S25" s="6" t="s">
        <v>6</v>
      </c>
      <c r="T25" s="6" t="s">
        <v>7</v>
      </c>
      <c r="U25" s="6" t="s">
        <v>8</v>
      </c>
      <c r="V25" s="6" t="s">
        <v>9</v>
      </c>
      <c r="W25" s="6" t="s">
        <v>10</v>
      </c>
      <c r="X25" s="6" t="s">
        <v>11</v>
      </c>
    </row>
    <row r="26" spans="2:24" x14ac:dyDescent="0.25">
      <c r="B26" s="2" t="s">
        <v>16</v>
      </c>
      <c r="C26" s="17">
        <v>0.14549999999999999</v>
      </c>
      <c r="D26" s="17">
        <v>0.14549999999999999</v>
      </c>
      <c r="E26" s="17">
        <v>0.14549999999999999</v>
      </c>
      <c r="F26" s="17">
        <v>0.14560000000000001</v>
      </c>
      <c r="G26" s="17">
        <v>0.14549999999999999</v>
      </c>
      <c r="H26" s="17">
        <v>0.14560000000000001</v>
      </c>
      <c r="I26" s="17">
        <v>0.15959999999999999</v>
      </c>
      <c r="J26" s="17">
        <v>0.1583</v>
      </c>
      <c r="K26" s="17">
        <v>0.1583</v>
      </c>
      <c r="L26" s="17">
        <v>0.15840000000000001</v>
      </c>
      <c r="N26" s="2" t="s">
        <v>16</v>
      </c>
      <c r="O26" s="17">
        <v>0.29670000000000002</v>
      </c>
      <c r="P26" s="17">
        <v>0.32769999999999999</v>
      </c>
      <c r="Q26" s="17">
        <v>0.32319999999999999</v>
      </c>
      <c r="R26" s="17">
        <v>0.318</v>
      </c>
      <c r="S26" s="17">
        <v>0.31780000000000003</v>
      </c>
      <c r="T26" s="17">
        <v>0.31780000000000003</v>
      </c>
      <c r="U26" s="17">
        <v>0.33829999999999999</v>
      </c>
      <c r="V26" s="17">
        <v>0.29820000000000002</v>
      </c>
      <c r="W26" s="17">
        <v>0.33860000000000001</v>
      </c>
      <c r="X26" s="17">
        <v>0.33110000000000001</v>
      </c>
    </row>
    <row r="27" spans="2:24" x14ac:dyDescent="0.25">
      <c r="B27" s="2" t="s">
        <v>17</v>
      </c>
      <c r="C27" s="17">
        <v>4304</v>
      </c>
      <c r="D27" s="17">
        <v>4333.5505999999996</v>
      </c>
      <c r="E27" s="17">
        <v>4307.1166999999996</v>
      </c>
      <c r="F27" s="17">
        <v>4331.1981999999998</v>
      </c>
      <c r="G27" s="17">
        <v>4312.4772999999996</v>
      </c>
      <c r="H27" s="17">
        <v>4291.9076999999997</v>
      </c>
      <c r="I27" s="17">
        <v>4307.6369000000004</v>
      </c>
      <c r="J27" s="17">
        <v>4325.4670999999998</v>
      </c>
      <c r="K27" s="17">
        <v>4297.1151</v>
      </c>
      <c r="L27" s="17">
        <v>4304.2242999999999</v>
      </c>
      <c r="N27" s="2" t="s">
        <v>17</v>
      </c>
      <c r="O27" s="17">
        <v>17203.460599999999</v>
      </c>
      <c r="P27" s="17">
        <v>17242.429499999998</v>
      </c>
      <c r="Q27" s="17">
        <v>17221.136299999998</v>
      </c>
      <c r="R27" s="17">
        <v>17227.926500000001</v>
      </c>
      <c r="S27" s="17">
        <v>17261.438099999999</v>
      </c>
      <c r="T27" s="17">
        <v>17217.924800000001</v>
      </c>
      <c r="U27" s="17">
        <v>17216.0942</v>
      </c>
      <c r="V27" s="17">
        <v>17257.966499999999</v>
      </c>
      <c r="W27" s="17">
        <v>17579.834299999999</v>
      </c>
      <c r="X27" s="17">
        <v>17262.741600000001</v>
      </c>
    </row>
    <row r="28" spans="2:24" x14ac:dyDescent="0.25">
      <c r="B28" s="2" t="s">
        <v>18</v>
      </c>
      <c r="C28" s="17">
        <v>5020.1174000000001</v>
      </c>
      <c r="D28" s="17">
        <v>5015.3009000000002</v>
      </c>
      <c r="E28" s="17">
        <v>5022.0213999999996</v>
      </c>
      <c r="F28" s="17">
        <v>5019.0775999999996</v>
      </c>
      <c r="G28" s="17">
        <v>5022.8743999999997</v>
      </c>
      <c r="H28" s="17">
        <v>5020.1540999999997</v>
      </c>
      <c r="I28" s="17">
        <v>5011.5083000000004</v>
      </c>
      <c r="J28" s="17">
        <v>5047.6743999999999</v>
      </c>
      <c r="K28" s="17">
        <v>5008.4647000000004</v>
      </c>
      <c r="L28" s="17">
        <v>5055.6261000000004</v>
      </c>
      <c r="N28" s="2" t="s">
        <v>18</v>
      </c>
      <c r="O28" s="17">
        <v>20142.285</v>
      </c>
      <c r="P28" s="17">
        <v>20085.060700000002</v>
      </c>
      <c r="Q28" s="17">
        <v>20059.220799999999</v>
      </c>
      <c r="R28" s="17">
        <v>20070.364300000001</v>
      </c>
      <c r="S28" s="17">
        <v>20097.975299999998</v>
      </c>
      <c r="T28" s="17">
        <v>20052.121800000001</v>
      </c>
      <c r="U28" s="17">
        <v>20436.073400000001</v>
      </c>
      <c r="V28" s="17">
        <v>20248.437900000001</v>
      </c>
      <c r="W28" s="17">
        <v>20171.027699999999</v>
      </c>
      <c r="X28" s="17">
        <v>20122.763599999998</v>
      </c>
    </row>
    <row r="29" spans="2:24" x14ac:dyDescent="0.25">
      <c r="B29" s="2" t="s">
        <v>19</v>
      </c>
      <c r="C29" s="17">
        <v>5.7552000000000003</v>
      </c>
      <c r="D29" s="17">
        <v>5.4348000000000001</v>
      </c>
      <c r="E29" s="17">
        <v>5.4164000000000003</v>
      </c>
      <c r="F29" s="17">
        <v>5.7746000000000004</v>
      </c>
      <c r="G29" s="17">
        <v>5.4311999999999996</v>
      </c>
      <c r="H29" s="17">
        <v>5.4206000000000003</v>
      </c>
      <c r="I29" s="17">
        <v>5.4537000000000004</v>
      </c>
      <c r="J29" s="17">
        <v>5.4645999999999999</v>
      </c>
      <c r="K29" s="17">
        <v>5.4237000000000002</v>
      </c>
      <c r="L29" s="17">
        <v>5.44</v>
      </c>
      <c r="N29" s="2" t="s">
        <v>19</v>
      </c>
      <c r="O29" s="17">
        <v>11.097799999999999</v>
      </c>
      <c r="P29" s="17">
        <v>11.2979</v>
      </c>
      <c r="Q29" s="17">
        <v>11.1708</v>
      </c>
      <c r="R29" s="17">
        <v>11.468999999999999</v>
      </c>
      <c r="S29" s="17">
        <v>10.7727</v>
      </c>
      <c r="T29" s="17">
        <v>11.147399999999999</v>
      </c>
      <c r="U29" s="17">
        <v>10.994400000000001</v>
      </c>
      <c r="V29" s="17">
        <v>11.0756</v>
      </c>
      <c r="W29" s="17">
        <v>11.0641</v>
      </c>
      <c r="X29" s="17">
        <v>11.158200000000001</v>
      </c>
    </row>
    <row r="30" spans="2:24" x14ac:dyDescent="0.25">
      <c r="B30" s="2" t="s">
        <v>20</v>
      </c>
      <c r="C30" s="17">
        <v>3802.4209000000001</v>
      </c>
      <c r="D30" s="17">
        <v>3808.3546000000001</v>
      </c>
      <c r="E30" s="17">
        <v>3797.8951999999999</v>
      </c>
      <c r="F30" s="17">
        <v>3796.1039999999998</v>
      </c>
      <c r="G30" s="17">
        <v>3786.4236999999998</v>
      </c>
      <c r="H30" s="17">
        <v>3786.5711000000001</v>
      </c>
      <c r="I30" s="17">
        <v>3785.855</v>
      </c>
      <c r="J30" s="17">
        <v>3786.8186999999998</v>
      </c>
      <c r="K30" s="17">
        <v>3784.1554999999998</v>
      </c>
      <c r="L30" s="17">
        <v>3805.2026000000001</v>
      </c>
      <c r="N30" s="2" t="s">
        <v>20</v>
      </c>
      <c r="O30" s="17">
        <v>15107.0311</v>
      </c>
      <c r="P30" s="17">
        <v>15107.242</v>
      </c>
      <c r="Q30" s="17">
        <v>15087.9707</v>
      </c>
      <c r="R30" s="17">
        <v>15092.1998</v>
      </c>
      <c r="S30" s="17">
        <v>15126.97</v>
      </c>
      <c r="T30" s="17">
        <v>15106.0147</v>
      </c>
      <c r="U30" s="17">
        <v>15089.6566</v>
      </c>
      <c r="V30" s="17">
        <v>15177.9974</v>
      </c>
      <c r="W30" s="17">
        <v>15127.268400000001</v>
      </c>
      <c r="X30" s="17">
        <v>15099.9612</v>
      </c>
    </row>
    <row r="31" spans="2:24" x14ac:dyDescent="0.25">
      <c r="B31" s="2" t="s">
        <v>21</v>
      </c>
      <c r="C31" s="18">
        <v>3.22</v>
      </c>
      <c r="D31" s="17">
        <v>3.1461999999999999</v>
      </c>
      <c r="E31" s="17">
        <v>3.3142</v>
      </c>
      <c r="F31" s="17">
        <v>3.2717000000000001</v>
      </c>
      <c r="G31" s="17">
        <v>3.2265999999999999</v>
      </c>
      <c r="H31" s="17">
        <v>3.214</v>
      </c>
      <c r="I31" s="17">
        <v>3.2458999999999998</v>
      </c>
      <c r="J31" s="17">
        <v>3.2747999999999999</v>
      </c>
      <c r="K31" s="17">
        <v>3.4226999999999999</v>
      </c>
      <c r="L31" s="17">
        <v>3.2511999999999999</v>
      </c>
      <c r="N31" s="2" t="s">
        <v>21</v>
      </c>
      <c r="O31" s="18">
        <v>7.1844999999999999</v>
      </c>
      <c r="P31" s="17">
        <v>7.3906000000000001</v>
      </c>
      <c r="Q31" s="17">
        <v>7.0709999999999997</v>
      </c>
      <c r="R31" s="17">
        <v>7.0484</v>
      </c>
      <c r="S31" s="17">
        <v>6.9187000000000003</v>
      </c>
      <c r="T31" s="17">
        <v>7.0728999999999997</v>
      </c>
      <c r="U31" s="17">
        <v>7.0594999999999999</v>
      </c>
      <c r="V31" s="17">
        <v>7.1050000000000004</v>
      </c>
      <c r="W31" s="17">
        <v>7.4336000000000002</v>
      </c>
      <c r="X31" s="17">
        <v>7.1543000000000001</v>
      </c>
    </row>
    <row r="34" spans="2:17" x14ac:dyDescent="0.25">
      <c r="B34" s="9" t="s">
        <v>1</v>
      </c>
      <c r="C34" s="16" t="s">
        <v>22</v>
      </c>
      <c r="D34" s="12"/>
      <c r="E34" s="12"/>
      <c r="F34" s="12"/>
      <c r="G34" s="12"/>
      <c r="H34" s="13"/>
      <c r="K34" s="1" t="s">
        <v>25</v>
      </c>
      <c r="L34" s="1">
        <f>C35</f>
        <v>1000</v>
      </c>
      <c r="M34" s="1">
        <f t="shared" ref="M34:Q34" si="0">D35</f>
        <v>5000</v>
      </c>
      <c r="N34" s="1">
        <f t="shared" si="0"/>
        <v>10000</v>
      </c>
      <c r="O34" s="1">
        <f t="shared" si="0"/>
        <v>50000</v>
      </c>
      <c r="P34" s="1">
        <f t="shared" si="0"/>
        <v>100000</v>
      </c>
      <c r="Q34" s="1">
        <f t="shared" si="0"/>
        <v>200000</v>
      </c>
    </row>
    <row r="35" spans="2:17" x14ac:dyDescent="0.25">
      <c r="B35" s="10"/>
      <c r="C35" s="2">
        <v>1000</v>
      </c>
      <c r="D35" s="2">
        <v>5000</v>
      </c>
      <c r="E35" s="2">
        <v>10000</v>
      </c>
      <c r="F35" s="2">
        <v>50000</v>
      </c>
      <c r="G35" s="2">
        <v>100000</v>
      </c>
      <c r="H35" s="2">
        <v>200000</v>
      </c>
      <c r="K35" s="1" t="s">
        <v>27</v>
      </c>
      <c r="L35" s="1">
        <f>C35^2</f>
        <v>1000000</v>
      </c>
      <c r="M35" s="1">
        <f t="shared" ref="M35:Q35" si="1">D35^2</f>
        <v>25000000</v>
      </c>
      <c r="N35" s="1">
        <f t="shared" si="1"/>
        <v>100000000</v>
      </c>
      <c r="O35" s="1">
        <f t="shared" si="1"/>
        <v>2500000000</v>
      </c>
      <c r="P35" s="1">
        <f t="shared" si="1"/>
        <v>10000000000</v>
      </c>
      <c r="Q35" s="1">
        <f t="shared" si="1"/>
        <v>40000000000</v>
      </c>
    </row>
    <row r="36" spans="2:17" x14ac:dyDescent="0.25">
      <c r="B36" s="2" t="s">
        <v>16</v>
      </c>
      <c r="C36" s="17">
        <f t="shared" ref="C36:C41" si="2">IF(COUNTBLANK(C6:L6)&gt;0,"undone",TRIMMEAN(C6:L6,2/COUNT(C6:L6)))</f>
        <v>1.4999999999999998E-3</v>
      </c>
      <c r="D36" s="17">
        <f t="shared" ref="D36:D41" si="3">IF(COUNTBLANK(O6:X6)&gt;0,"undone",TRIMMEAN(O6:X6,2/COUNT(O6:X6)))</f>
        <v>8.2625000000000007E-3</v>
      </c>
      <c r="E36" s="17">
        <f t="shared" ref="E36:E41" si="4">IF(COUNTBLANK(C16:L16)&gt;0,"undone",TRIMMEAN(C16:L16,2/COUNT(C16:L16)))</f>
        <v>1.4450000000000003E-2</v>
      </c>
      <c r="F36" s="17">
        <f t="shared" ref="F36:F41" si="5">IF(COUNTBLANK(O16:X16)&gt;0,"undone",TRIMMEAN(O16:X16,2/COUNT(O16:X16)))</f>
        <v>7.607499999999999E-2</v>
      </c>
      <c r="G36" s="17">
        <f t="shared" ref="G36:G41" si="6">IF(COUNTBLANK(C26:L26)&gt;0,"undone",TRIMMEAN(C26:L26,2/COUNT(C26:L26)))</f>
        <v>0.15033750000000001</v>
      </c>
      <c r="H36" s="17">
        <f t="shared" ref="H36:H41" si="7">IF(COUNTBLANK(O26:X26)&gt;0,"undone",TRIMMEAN(O26:X26,2/COUNT(O26:X26)))</f>
        <v>0.32151250000000009</v>
      </c>
      <c r="K36" s="1" t="s">
        <v>26</v>
      </c>
      <c r="L36" s="1">
        <f>C35*LOG(C35)</f>
        <v>3000</v>
      </c>
      <c r="M36" s="1">
        <f t="shared" ref="M36:Q36" si="8">D35*LOG(D35)</f>
        <v>18494.850021680093</v>
      </c>
      <c r="N36" s="1">
        <f t="shared" si="8"/>
        <v>40000</v>
      </c>
      <c r="O36" s="1">
        <f t="shared" si="8"/>
        <v>234948.50021680092</v>
      </c>
      <c r="P36" s="1">
        <f t="shared" si="8"/>
        <v>500000</v>
      </c>
      <c r="Q36" s="1">
        <f t="shared" si="8"/>
        <v>1060205.9991327962</v>
      </c>
    </row>
    <row r="37" spans="2:17" x14ac:dyDescent="0.25">
      <c r="B37" s="2" t="s">
        <v>17</v>
      </c>
      <c r="C37" s="17">
        <f t="shared" si="2"/>
        <v>0.43456250000000002</v>
      </c>
      <c r="D37" s="17">
        <f t="shared" si="3"/>
        <v>10.809674999999999</v>
      </c>
      <c r="E37" s="17">
        <f t="shared" si="4"/>
        <v>43.120999999999995</v>
      </c>
      <c r="F37" s="17">
        <f t="shared" si="5"/>
        <v>1076.2408500000001</v>
      </c>
      <c r="G37" s="17">
        <f t="shared" si="6"/>
        <v>4311.1544499999991</v>
      </c>
      <c r="H37" s="17">
        <f t="shared" si="7"/>
        <v>17238.457187499997</v>
      </c>
    </row>
    <row r="38" spans="2:17" x14ac:dyDescent="0.25">
      <c r="B38" s="2" t="s">
        <v>18</v>
      </c>
      <c r="C38" s="17">
        <f t="shared" si="2"/>
        <v>0.50743749999999999</v>
      </c>
      <c r="D38" s="17">
        <f t="shared" si="3"/>
        <v>12.501125</v>
      </c>
      <c r="E38" s="17">
        <f t="shared" si="4"/>
        <v>50.046925000000002</v>
      </c>
      <c r="F38" s="17">
        <f t="shared" si="5"/>
        <v>1256.7239</v>
      </c>
      <c r="G38" s="17">
        <f t="shared" si="6"/>
        <v>5022.3410624999997</v>
      </c>
      <c r="H38" s="17">
        <f t="shared" si="7"/>
        <v>20124.641912499999</v>
      </c>
    </row>
    <row r="39" spans="2:17" x14ac:dyDescent="0.25">
      <c r="B39" s="2" t="s">
        <v>19</v>
      </c>
      <c r="C39" s="17">
        <f t="shared" si="2"/>
        <v>3.4737500000000004E-2</v>
      </c>
      <c r="D39" s="17">
        <f t="shared" si="3"/>
        <v>0.20858750000000001</v>
      </c>
      <c r="E39" s="17">
        <f t="shared" si="4"/>
        <v>0.43764999999999998</v>
      </c>
      <c r="F39" s="17">
        <f t="shared" si="5"/>
        <v>2.5086874999999997</v>
      </c>
      <c r="G39" s="17">
        <f t="shared" si="6"/>
        <v>5.4779750000000007</v>
      </c>
      <c r="H39" s="17">
        <f t="shared" si="7"/>
        <v>11.125774999999997</v>
      </c>
    </row>
    <row r="40" spans="2:17" x14ac:dyDescent="0.25">
      <c r="B40" s="2" t="s">
        <v>20</v>
      </c>
      <c r="C40" s="17">
        <f t="shared" si="2"/>
        <v>0.39574999999999999</v>
      </c>
      <c r="D40" s="17">
        <f t="shared" si="3"/>
        <v>9.5529750000000018</v>
      </c>
      <c r="E40" s="17">
        <f t="shared" si="4"/>
        <v>38.113225</v>
      </c>
      <c r="F40" s="17">
        <f t="shared" si="5"/>
        <v>950.36601250000001</v>
      </c>
      <c r="G40" s="17">
        <f t="shared" si="6"/>
        <v>3793.4114</v>
      </c>
      <c r="H40" s="17">
        <f t="shared" si="7"/>
        <v>15107.042975</v>
      </c>
    </row>
    <row r="41" spans="2:17" x14ac:dyDescent="0.25">
      <c r="B41" s="2" t="s">
        <v>21</v>
      </c>
      <c r="C41" s="17">
        <f t="shared" si="2"/>
        <v>2.6525E-2</v>
      </c>
      <c r="D41" s="17">
        <f t="shared" si="3"/>
        <v>0.13981250000000001</v>
      </c>
      <c r="E41" s="17">
        <f t="shared" si="4"/>
        <v>0.29772500000000002</v>
      </c>
      <c r="F41" s="17">
        <f t="shared" si="5"/>
        <v>1.5552124999999999</v>
      </c>
      <c r="G41" s="17">
        <f t="shared" si="6"/>
        <v>3.2523</v>
      </c>
      <c r="H41" s="17">
        <f t="shared" si="7"/>
        <v>7.1357749999999998</v>
      </c>
    </row>
    <row r="44" spans="2:17" ht="27.6" x14ac:dyDescent="0.25">
      <c r="B44" s="1" t="s">
        <v>23</v>
      </c>
      <c r="F44" s="8" t="s">
        <v>24</v>
      </c>
    </row>
  </sheetData>
  <mergeCells count="15">
    <mergeCell ref="B34:B35"/>
    <mergeCell ref="C34:H34"/>
    <mergeCell ref="B24:B25"/>
    <mergeCell ref="C24:L24"/>
    <mergeCell ref="N24:N25"/>
    <mergeCell ref="O24:X24"/>
    <mergeCell ref="A1:B1"/>
    <mergeCell ref="B4:B5"/>
    <mergeCell ref="C4:L4"/>
    <mergeCell ref="N4:N5"/>
    <mergeCell ref="O4:X4"/>
    <mergeCell ref="B14:B15"/>
    <mergeCell ref="C14:L14"/>
    <mergeCell ref="N14:N15"/>
    <mergeCell ref="O14:X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ABBF-99B4-4A0D-997A-538DB5FEE257}">
  <dimension ref="A1:X44"/>
  <sheetViews>
    <sheetView topLeftCell="A22" zoomScale="55" zoomScaleNormal="70" workbookViewId="0">
      <selection activeCell="Y61" sqref="Y61"/>
    </sheetView>
  </sheetViews>
  <sheetFormatPr defaultRowHeight="13.8" x14ac:dyDescent="0.25"/>
  <cols>
    <col min="1" max="1" width="8.796875" style="1"/>
    <col min="2" max="2" width="23.3984375" style="1" bestFit="1" customWidth="1"/>
    <col min="3" max="12" width="9.69921875" style="1" customWidth="1"/>
    <col min="13" max="13" width="8.796875" style="1"/>
    <col min="14" max="14" width="23.3984375" style="1" bestFit="1" customWidth="1"/>
    <col min="15" max="24" width="9.69921875" style="1" customWidth="1"/>
    <col min="25" max="16384" width="8.796875" style="1"/>
  </cols>
  <sheetData>
    <row r="1" spans="1:24" x14ac:dyDescent="0.25">
      <c r="A1" s="14" t="s">
        <v>13</v>
      </c>
      <c r="B1" s="15"/>
    </row>
    <row r="3" spans="1:24" x14ac:dyDescent="0.25">
      <c r="B3" s="4" t="s">
        <v>12</v>
      </c>
      <c r="C3" s="1">
        <f>C35</f>
        <v>1000</v>
      </c>
      <c r="N3" s="4" t="s">
        <v>12</v>
      </c>
      <c r="O3" s="1">
        <f>D35</f>
        <v>5000</v>
      </c>
    </row>
    <row r="4" spans="1:24" x14ac:dyDescent="0.25">
      <c r="B4" s="9" t="s">
        <v>1</v>
      </c>
      <c r="C4" s="11" t="s">
        <v>15</v>
      </c>
      <c r="D4" s="12"/>
      <c r="E4" s="12"/>
      <c r="F4" s="12"/>
      <c r="G4" s="12"/>
      <c r="H4" s="12"/>
      <c r="I4" s="12"/>
      <c r="J4" s="12"/>
      <c r="K4" s="12"/>
      <c r="L4" s="13"/>
      <c r="N4" s="9" t="s">
        <v>1</v>
      </c>
      <c r="O4" s="11" t="s">
        <v>15</v>
      </c>
      <c r="P4" s="12"/>
      <c r="Q4" s="12"/>
      <c r="R4" s="12"/>
      <c r="S4" s="12"/>
      <c r="T4" s="12"/>
      <c r="U4" s="12"/>
      <c r="V4" s="12"/>
      <c r="W4" s="12"/>
      <c r="X4" s="13"/>
    </row>
    <row r="5" spans="1:24" x14ac:dyDescent="0.25">
      <c r="B5" s="10"/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N5" s="10"/>
      <c r="O5" s="5" t="s">
        <v>2</v>
      </c>
      <c r="P5" s="6" t="s">
        <v>3</v>
      </c>
      <c r="Q5" s="6" t="s">
        <v>4</v>
      </c>
      <c r="R5" s="6" t="s">
        <v>5</v>
      </c>
      <c r="S5" s="6" t="s">
        <v>6</v>
      </c>
      <c r="T5" s="6" t="s">
        <v>7</v>
      </c>
      <c r="U5" s="6" t="s">
        <v>8</v>
      </c>
      <c r="V5" s="6" t="s">
        <v>9</v>
      </c>
      <c r="W5" s="6" t="s">
        <v>10</v>
      </c>
      <c r="X5" s="6" t="s">
        <v>11</v>
      </c>
    </row>
    <row r="6" spans="1:24" x14ac:dyDescent="0.25">
      <c r="B6" s="2" t="s">
        <v>16</v>
      </c>
      <c r="C6" s="17">
        <v>0.77180000000000004</v>
      </c>
      <c r="D6" s="17">
        <v>0.80430000000000001</v>
      </c>
      <c r="E6" s="17">
        <v>0.75829999999999997</v>
      </c>
      <c r="F6" s="17">
        <v>0.66820000000000002</v>
      </c>
      <c r="G6" s="17">
        <v>0.66110000000000002</v>
      </c>
      <c r="H6" s="17">
        <v>0.66100000000000003</v>
      </c>
      <c r="I6" s="17">
        <v>0.66369999999999996</v>
      </c>
      <c r="J6" s="17">
        <v>0.66100000000000003</v>
      </c>
      <c r="K6" s="17">
        <v>0.66080000000000005</v>
      </c>
      <c r="L6" s="17">
        <v>0.66369999999999996</v>
      </c>
      <c r="N6" s="2" t="s">
        <v>16</v>
      </c>
      <c r="O6" s="17">
        <v>17.041799999999999</v>
      </c>
      <c r="P6" s="17">
        <v>16.889700000000001</v>
      </c>
      <c r="Q6" s="17">
        <v>16.9072</v>
      </c>
      <c r="R6" s="17">
        <v>17.0702</v>
      </c>
      <c r="S6" s="17">
        <v>17.4297</v>
      </c>
      <c r="T6" s="17">
        <v>17.338000000000001</v>
      </c>
      <c r="U6" s="17">
        <v>17.336099999999998</v>
      </c>
      <c r="V6" s="17">
        <v>17.162800000000001</v>
      </c>
      <c r="W6" s="17">
        <v>17.1922</v>
      </c>
      <c r="X6" s="17">
        <v>17.402000000000001</v>
      </c>
    </row>
    <row r="7" spans="1:24" x14ac:dyDescent="0.25">
      <c r="B7" s="2" t="s">
        <v>17</v>
      </c>
      <c r="C7" s="17">
        <v>0.4924</v>
      </c>
      <c r="D7" s="17">
        <v>0.49209999999999998</v>
      </c>
      <c r="E7" s="17">
        <v>0.49419999999999997</v>
      </c>
      <c r="F7" s="17">
        <v>0.4919</v>
      </c>
      <c r="G7" s="17">
        <v>0.4919</v>
      </c>
      <c r="H7" s="17">
        <v>0.49180000000000001</v>
      </c>
      <c r="I7" s="17">
        <v>0.49459999999999998</v>
      </c>
      <c r="J7" s="17">
        <v>0.42959999999999998</v>
      </c>
      <c r="K7" s="17">
        <v>0.42920000000000003</v>
      </c>
      <c r="L7" s="17">
        <v>0.42920000000000003</v>
      </c>
      <c r="N7" s="2" t="s">
        <v>17</v>
      </c>
      <c r="O7" s="17">
        <v>11.488899999999999</v>
      </c>
      <c r="P7" s="17">
        <v>12.2807</v>
      </c>
      <c r="Q7" s="17">
        <v>12.0715</v>
      </c>
      <c r="R7" s="17">
        <v>11.789199999999999</v>
      </c>
      <c r="S7" s="17">
        <v>12.787000000000001</v>
      </c>
      <c r="T7" s="17">
        <v>12.5093</v>
      </c>
      <c r="U7" s="17">
        <v>11.7605</v>
      </c>
      <c r="V7" s="17">
        <v>11.837</v>
      </c>
      <c r="W7" s="17">
        <v>12.382300000000001</v>
      </c>
      <c r="X7" s="17">
        <v>12.141500000000001</v>
      </c>
    </row>
    <row r="8" spans="1:24" x14ac:dyDescent="0.25">
      <c r="B8" s="2" t="s">
        <v>18</v>
      </c>
      <c r="C8" s="17">
        <v>0.98809999999999998</v>
      </c>
      <c r="D8" s="17">
        <v>0.98580000000000001</v>
      </c>
      <c r="E8" s="17">
        <v>0.99439999999999995</v>
      </c>
      <c r="F8" s="17">
        <v>1.0396000000000001</v>
      </c>
      <c r="G8" s="17">
        <v>1.0298</v>
      </c>
      <c r="H8" s="17">
        <v>1.0004</v>
      </c>
      <c r="I8" s="17">
        <v>0.99939999999999996</v>
      </c>
      <c r="J8" s="17">
        <v>0.99539999999999995</v>
      </c>
      <c r="K8" s="17">
        <v>1.0059</v>
      </c>
      <c r="L8" s="17">
        <v>1.0067999999999999</v>
      </c>
      <c r="N8" s="2" t="s">
        <v>18</v>
      </c>
      <c r="O8" s="17">
        <v>26.364699999999999</v>
      </c>
      <c r="P8" s="17">
        <v>26.424199999999999</v>
      </c>
      <c r="Q8" s="17">
        <v>25.571300000000001</v>
      </c>
      <c r="R8" s="17">
        <v>26.031400000000001</v>
      </c>
      <c r="S8" s="17">
        <v>28.416699999999999</v>
      </c>
      <c r="T8" s="17">
        <v>26.171800000000001</v>
      </c>
      <c r="U8" s="17">
        <v>26.204899999999999</v>
      </c>
      <c r="V8" s="17">
        <v>26.657</v>
      </c>
      <c r="W8" s="17">
        <v>26.5855</v>
      </c>
      <c r="X8" s="17">
        <v>26.417400000000001</v>
      </c>
    </row>
    <row r="9" spans="1:24" x14ac:dyDescent="0.25">
      <c r="B9" s="2" t="s">
        <v>19</v>
      </c>
      <c r="C9" s="17">
        <v>3.7100000000000001E-2</v>
      </c>
      <c r="D9" s="17">
        <v>3.8399999999999997E-2</v>
      </c>
      <c r="E9" s="17">
        <v>3.5400000000000001E-2</v>
      </c>
      <c r="F9" s="17">
        <v>3.5499999999999997E-2</v>
      </c>
      <c r="G9" s="17">
        <v>3.5499999999999997E-2</v>
      </c>
      <c r="H9" s="17">
        <v>3.5400000000000001E-2</v>
      </c>
      <c r="I9" s="17">
        <v>3.5400000000000001E-2</v>
      </c>
      <c r="J9" s="17">
        <v>3.5400000000000001E-2</v>
      </c>
      <c r="K9" s="17">
        <v>3.5400000000000001E-2</v>
      </c>
      <c r="L9" s="17">
        <v>3.5499999999999997E-2</v>
      </c>
      <c r="N9" s="2" t="s">
        <v>19</v>
      </c>
      <c r="O9" s="17">
        <v>0.21679999999999999</v>
      </c>
      <c r="P9" s="17">
        <v>0.2132</v>
      </c>
      <c r="Q9" s="17">
        <v>0.2132</v>
      </c>
      <c r="R9" s="17">
        <v>0.30590000000000001</v>
      </c>
      <c r="S9" s="17">
        <v>0.27060000000000001</v>
      </c>
      <c r="T9" s="17">
        <v>0.26540000000000002</v>
      </c>
      <c r="U9" s="17">
        <v>0.26550000000000001</v>
      </c>
      <c r="V9" s="17">
        <v>0.26519999999999999</v>
      </c>
      <c r="W9" s="17">
        <v>0.24970000000000001</v>
      </c>
      <c r="X9" s="17">
        <v>0.20660000000000001</v>
      </c>
    </row>
    <row r="10" spans="1:24" x14ac:dyDescent="0.25">
      <c r="B10" s="2" t="s">
        <v>20</v>
      </c>
      <c r="C10" s="17">
        <v>0.38879999999999998</v>
      </c>
      <c r="D10" s="17">
        <v>0.3876</v>
      </c>
      <c r="E10" s="17">
        <v>0.38869999999999999</v>
      </c>
      <c r="F10" s="17">
        <v>0.38779999999999998</v>
      </c>
      <c r="G10" s="17">
        <v>0.39069999999999999</v>
      </c>
      <c r="H10" s="17">
        <v>0.38340000000000002</v>
      </c>
      <c r="I10" s="17">
        <v>0.3836</v>
      </c>
      <c r="J10" s="17">
        <v>0.38540000000000002</v>
      </c>
      <c r="K10" s="17">
        <v>0.38379999999999997</v>
      </c>
      <c r="L10" s="17">
        <v>0.37940000000000002</v>
      </c>
      <c r="N10" s="2" t="s">
        <v>20</v>
      </c>
      <c r="O10" s="17">
        <v>9.7011000000000003</v>
      </c>
      <c r="P10" s="17">
        <v>9.6804000000000006</v>
      </c>
      <c r="Q10" s="17">
        <v>9.5503999999999998</v>
      </c>
      <c r="R10" s="17">
        <v>9.6463999999999999</v>
      </c>
      <c r="S10" s="17">
        <v>9.6074999999999999</v>
      </c>
      <c r="T10" s="17">
        <v>9.5904000000000007</v>
      </c>
      <c r="U10" s="17">
        <v>9.58</v>
      </c>
      <c r="V10" s="17">
        <v>9.6347000000000005</v>
      </c>
      <c r="W10" s="17">
        <v>9.6195000000000004</v>
      </c>
      <c r="X10" s="17">
        <v>9.6190999999999995</v>
      </c>
    </row>
    <row r="11" spans="1:24" x14ac:dyDescent="0.25">
      <c r="B11" s="2" t="s">
        <v>21</v>
      </c>
      <c r="C11" s="18">
        <v>2.9399999999999999E-2</v>
      </c>
      <c r="D11" s="17">
        <v>2.8199999999999999E-2</v>
      </c>
      <c r="E11" s="17">
        <v>2.7799999999999998E-2</v>
      </c>
      <c r="F11" s="17">
        <v>2.6599999999999999E-2</v>
      </c>
      <c r="G11" s="17">
        <v>2.6800000000000001E-2</v>
      </c>
      <c r="H11" s="17">
        <v>2.8199999999999999E-2</v>
      </c>
      <c r="I11" s="17">
        <v>2.7300000000000001E-2</v>
      </c>
      <c r="J11" s="17">
        <v>2.7199999999999998E-2</v>
      </c>
      <c r="K11" s="17">
        <v>2.7099999999999999E-2</v>
      </c>
      <c r="L11" s="17">
        <v>2.7E-2</v>
      </c>
      <c r="N11" s="2" t="s">
        <v>21</v>
      </c>
      <c r="O11" s="18">
        <v>0.1527</v>
      </c>
      <c r="P11" s="17">
        <v>0.154</v>
      </c>
      <c r="Q11" s="17">
        <v>0.14760000000000001</v>
      </c>
      <c r="R11" s="17">
        <v>0.15079999999999999</v>
      </c>
      <c r="S11" s="17">
        <v>0.1527</v>
      </c>
      <c r="T11" s="17">
        <v>0.15010000000000001</v>
      </c>
      <c r="U11" s="17">
        <v>0.15920000000000001</v>
      </c>
      <c r="V11" s="17">
        <v>0.14779999999999999</v>
      </c>
      <c r="W11" s="17">
        <v>0.14849999999999999</v>
      </c>
      <c r="X11" s="17">
        <v>0.15629999999999999</v>
      </c>
    </row>
    <row r="13" spans="1:24" x14ac:dyDescent="0.25">
      <c r="B13" s="4" t="s">
        <v>12</v>
      </c>
      <c r="C13" s="1">
        <f>E35</f>
        <v>10000</v>
      </c>
      <c r="N13" s="4" t="s">
        <v>12</v>
      </c>
      <c r="O13" s="1">
        <f>F35</f>
        <v>50000</v>
      </c>
    </row>
    <row r="14" spans="1:24" x14ac:dyDescent="0.25">
      <c r="B14" s="9" t="s">
        <v>1</v>
      </c>
      <c r="C14" s="11" t="s">
        <v>15</v>
      </c>
      <c r="D14" s="12"/>
      <c r="E14" s="12"/>
      <c r="F14" s="12"/>
      <c r="G14" s="12"/>
      <c r="H14" s="12"/>
      <c r="I14" s="12"/>
      <c r="J14" s="12"/>
      <c r="K14" s="12"/>
      <c r="L14" s="13"/>
      <c r="N14" s="9" t="s">
        <v>1</v>
      </c>
      <c r="O14" s="11" t="s">
        <v>15</v>
      </c>
      <c r="P14" s="12"/>
      <c r="Q14" s="12"/>
      <c r="R14" s="12"/>
      <c r="S14" s="12"/>
      <c r="T14" s="12"/>
      <c r="U14" s="12"/>
      <c r="V14" s="12"/>
      <c r="W14" s="12"/>
      <c r="X14" s="13"/>
    </row>
    <row r="15" spans="1:24" x14ac:dyDescent="0.25">
      <c r="B15" s="10"/>
      <c r="C15" s="5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  <c r="K15" s="6" t="s">
        <v>10</v>
      </c>
      <c r="L15" s="6" t="s">
        <v>11</v>
      </c>
      <c r="N15" s="10"/>
      <c r="O15" s="5" t="s">
        <v>2</v>
      </c>
      <c r="P15" s="6" t="s">
        <v>3</v>
      </c>
      <c r="Q15" s="6" t="s">
        <v>4</v>
      </c>
      <c r="R15" s="6" t="s">
        <v>5</v>
      </c>
      <c r="S15" s="6" t="s">
        <v>6</v>
      </c>
      <c r="T15" s="6" t="s">
        <v>7</v>
      </c>
      <c r="U15" s="6" t="s">
        <v>8</v>
      </c>
      <c r="V15" s="6" t="s">
        <v>9</v>
      </c>
      <c r="W15" s="6" t="s">
        <v>10</v>
      </c>
      <c r="X15" s="6" t="s">
        <v>11</v>
      </c>
    </row>
    <row r="16" spans="1:24" x14ac:dyDescent="0.25">
      <c r="B16" s="2" t="s">
        <v>16</v>
      </c>
      <c r="C16" s="17">
        <v>68.207599999999999</v>
      </c>
      <c r="D16" s="17">
        <v>68.167699999999996</v>
      </c>
      <c r="E16" s="17">
        <v>67.539199999999994</v>
      </c>
      <c r="F16" s="17">
        <v>68.462199999999996</v>
      </c>
      <c r="G16" s="17">
        <v>67.904700000000005</v>
      </c>
      <c r="H16" s="17">
        <v>67.4298</v>
      </c>
      <c r="I16" s="17">
        <v>67.9071</v>
      </c>
      <c r="J16" s="17">
        <v>68.179000000000002</v>
      </c>
      <c r="K16" s="17">
        <v>68.439400000000006</v>
      </c>
      <c r="L16" s="17">
        <v>68.176699999999997</v>
      </c>
      <c r="N16" s="2" t="s">
        <v>16</v>
      </c>
      <c r="O16" s="17">
        <v>1704.8989999999999</v>
      </c>
      <c r="P16" s="17">
        <v>1702.0495000000001</v>
      </c>
      <c r="Q16" s="17">
        <v>1703.2689</v>
      </c>
      <c r="R16" s="17">
        <v>1705.9183</v>
      </c>
      <c r="S16" s="17">
        <v>1700.4439</v>
      </c>
      <c r="T16" s="17">
        <v>1706.0489</v>
      </c>
      <c r="U16" s="17">
        <v>1712.8058000000001</v>
      </c>
      <c r="V16" s="17">
        <v>1703.894</v>
      </c>
      <c r="W16" s="17">
        <v>1710.4666999999999</v>
      </c>
      <c r="X16" s="17">
        <v>1704.9186</v>
      </c>
    </row>
    <row r="17" spans="2:24" x14ac:dyDescent="0.25">
      <c r="B17" s="2" t="s">
        <v>17</v>
      </c>
      <c r="C17" s="17">
        <v>47.789200000000001</v>
      </c>
      <c r="D17" s="17">
        <v>49.543599999999998</v>
      </c>
      <c r="E17" s="17">
        <v>49.170400000000001</v>
      </c>
      <c r="F17" s="17">
        <v>48.6051</v>
      </c>
      <c r="G17" s="17">
        <v>48.374400000000001</v>
      </c>
      <c r="H17" s="17">
        <v>47.843899999999998</v>
      </c>
      <c r="I17" s="17">
        <v>48.6021</v>
      </c>
      <c r="J17" s="17">
        <v>49.093800000000002</v>
      </c>
      <c r="K17" s="17">
        <v>47.684399999999997</v>
      </c>
      <c r="L17" s="17">
        <v>48.338299999999997</v>
      </c>
      <c r="N17" s="2" t="s">
        <v>17</v>
      </c>
      <c r="O17" s="17">
        <v>1194.8806999999999</v>
      </c>
      <c r="P17" s="17">
        <v>1198.2061000000001</v>
      </c>
      <c r="Q17" s="17">
        <v>1192.9572000000001</v>
      </c>
      <c r="R17" s="17">
        <v>1195.6832999999999</v>
      </c>
      <c r="S17" s="17">
        <v>1201.5487000000001</v>
      </c>
      <c r="T17" s="17">
        <v>1196.192</v>
      </c>
      <c r="U17" s="17">
        <v>1199.2119</v>
      </c>
      <c r="V17" s="17">
        <v>1203.0961</v>
      </c>
      <c r="W17" s="17">
        <v>1213.1585</v>
      </c>
      <c r="X17" s="17">
        <v>1204.787</v>
      </c>
    </row>
    <row r="18" spans="2:24" x14ac:dyDescent="0.25">
      <c r="B18" s="2" t="s">
        <v>18</v>
      </c>
      <c r="C18" s="17">
        <v>102.869</v>
      </c>
      <c r="D18" s="17">
        <v>103.19670000000001</v>
      </c>
      <c r="E18" s="17">
        <v>102.7116</v>
      </c>
      <c r="F18" s="17">
        <v>103.1788</v>
      </c>
      <c r="G18" s="17">
        <v>102.4104</v>
      </c>
      <c r="H18" s="17">
        <v>103.07940000000001</v>
      </c>
      <c r="I18" s="17">
        <v>101.2483</v>
      </c>
      <c r="J18" s="17">
        <v>103.4586</v>
      </c>
      <c r="K18" s="17">
        <v>102.45180000000001</v>
      </c>
      <c r="L18" s="17">
        <v>102.9008</v>
      </c>
      <c r="N18" s="2" t="s">
        <v>18</v>
      </c>
      <c r="O18" s="17">
        <v>2580.8831</v>
      </c>
      <c r="P18" s="17">
        <v>2570.9998999999998</v>
      </c>
      <c r="Q18" s="17">
        <v>2567.5625</v>
      </c>
      <c r="R18" s="17">
        <v>2564.4261000000001</v>
      </c>
      <c r="S18" s="17">
        <v>2586.1840000000002</v>
      </c>
      <c r="T18" s="17">
        <v>2563.6374000000001</v>
      </c>
      <c r="U18" s="17">
        <v>2579.6950999999999</v>
      </c>
      <c r="V18" s="17">
        <v>2599.5169000000001</v>
      </c>
      <c r="W18" s="17">
        <v>2565.2997</v>
      </c>
      <c r="X18" s="17">
        <v>2566.1089000000002</v>
      </c>
    </row>
    <row r="19" spans="2:24" x14ac:dyDescent="0.25">
      <c r="B19" s="2" t="s">
        <v>19</v>
      </c>
      <c r="C19" s="17">
        <v>0.45440000000000003</v>
      </c>
      <c r="D19" s="17">
        <v>0.45340000000000003</v>
      </c>
      <c r="E19" s="17">
        <v>0.44979999999999998</v>
      </c>
      <c r="F19" s="17">
        <v>0.46539999999999998</v>
      </c>
      <c r="G19" s="17">
        <v>0.44890000000000002</v>
      </c>
      <c r="H19" s="17">
        <v>0.45179999999999998</v>
      </c>
      <c r="I19" s="17">
        <v>0.45050000000000001</v>
      </c>
      <c r="J19" s="17">
        <v>0.4491</v>
      </c>
      <c r="K19" s="17">
        <v>0.4476</v>
      </c>
      <c r="L19" s="17">
        <v>0.44940000000000002</v>
      </c>
      <c r="N19" s="2" t="s">
        <v>19</v>
      </c>
      <c r="O19" s="17">
        <v>2.7330000000000001</v>
      </c>
      <c r="P19" s="17">
        <v>2.5457000000000001</v>
      </c>
      <c r="Q19" s="17">
        <v>2.4946000000000002</v>
      </c>
      <c r="R19" s="17">
        <v>2.5110000000000001</v>
      </c>
      <c r="S19" s="17">
        <v>2.5099999999999998</v>
      </c>
      <c r="T19" s="17">
        <v>2.5165000000000002</v>
      </c>
      <c r="U19" s="17">
        <v>2.5499000000000001</v>
      </c>
      <c r="V19" s="17">
        <v>2.5648</v>
      </c>
      <c r="W19" s="17">
        <v>2.5398999999999998</v>
      </c>
      <c r="X19" s="17">
        <v>2.5661</v>
      </c>
    </row>
    <row r="20" spans="2:24" x14ac:dyDescent="0.25">
      <c r="B20" s="2" t="s">
        <v>20</v>
      </c>
      <c r="C20" s="17">
        <v>38.282800000000002</v>
      </c>
      <c r="D20" s="17">
        <v>38.275500000000001</v>
      </c>
      <c r="E20" s="17">
        <v>38.235799999999998</v>
      </c>
      <c r="F20" s="17">
        <v>38.378900000000002</v>
      </c>
      <c r="G20" s="17">
        <v>38.271999999999998</v>
      </c>
      <c r="H20" s="17">
        <v>38.679400000000001</v>
      </c>
      <c r="I20" s="17">
        <v>38.296199999999999</v>
      </c>
      <c r="J20" s="17">
        <v>37.525599999999997</v>
      </c>
      <c r="K20" s="17">
        <v>38.059199999999997</v>
      </c>
      <c r="L20" s="17">
        <v>38.383000000000003</v>
      </c>
      <c r="N20" s="2" t="s">
        <v>20</v>
      </c>
      <c r="O20" s="17">
        <v>944.74099999999999</v>
      </c>
      <c r="P20" s="17">
        <v>944.09670000000006</v>
      </c>
      <c r="Q20" s="17">
        <v>948.25369999999998</v>
      </c>
      <c r="R20" s="17">
        <v>946.30790000000002</v>
      </c>
      <c r="S20" s="17">
        <v>950.81169999999997</v>
      </c>
      <c r="T20" s="17">
        <v>945.62940000000003</v>
      </c>
      <c r="U20" s="17">
        <v>950.71860000000004</v>
      </c>
      <c r="V20" s="17">
        <v>947.17190000000005</v>
      </c>
      <c r="W20" s="17">
        <v>945.11760000000004</v>
      </c>
      <c r="X20" s="17">
        <v>944.04780000000005</v>
      </c>
    </row>
    <row r="21" spans="2:24" x14ac:dyDescent="0.25">
      <c r="B21" s="2" t="s">
        <v>21</v>
      </c>
      <c r="C21" s="18">
        <v>0.38090000000000002</v>
      </c>
      <c r="D21" s="17">
        <v>0.38229999999999997</v>
      </c>
      <c r="E21" s="17">
        <v>0.29559999999999997</v>
      </c>
      <c r="F21" s="17">
        <v>0.3039</v>
      </c>
      <c r="G21" s="17">
        <v>0.30249999999999999</v>
      </c>
      <c r="H21" s="17">
        <v>0.31919999999999998</v>
      </c>
      <c r="I21" s="17">
        <v>0.29299999999999998</v>
      </c>
      <c r="J21" s="17">
        <v>0.30969999999999998</v>
      </c>
      <c r="K21" s="17">
        <v>0.30180000000000001</v>
      </c>
      <c r="L21" s="17">
        <v>0.29330000000000001</v>
      </c>
      <c r="N21" s="2" t="s">
        <v>21</v>
      </c>
      <c r="O21" s="18">
        <v>1.5976999999999999</v>
      </c>
      <c r="P21" s="17">
        <v>1.6881999999999999</v>
      </c>
      <c r="Q21" s="17">
        <v>1.6317999999999999</v>
      </c>
      <c r="R21" s="17">
        <v>1.6119000000000001</v>
      </c>
      <c r="S21" s="17">
        <v>1.6428</v>
      </c>
      <c r="T21" s="17">
        <v>1.6513</v>
      </c>
      <c r="U21" s="17">
        <v>1.6601999999999999</v>
      </c>
      <c r="V21" s="17">
        <v>1.639</v>
      </c>
      <c r="W21" s="17">
        <v>1.6396999999999999</v>
      </c>
      <c r="X21" s="17">
        <v>1.6356999999999999</v>
      </c>
    </row>
    <row r="23" spans="2:24" x14ac:dyDescent="0.25">
      <c r="B23" s="4" t="s">
        <v>12</v>
      </c>
      <c r="C23" s="1">
        <f>G35</f>
        <v>100000</v>
      </c>
      <c r="N23" s="4" t="s">
        <v>12</v>
      </c>
      <c r="O23" s="1">
        <f>H35</f>
        <v>200000</v>
      </c>
    </row>
    <row r="24" spans="2:24" x14ac:dyDescent="0.25">
      <c r="B24" s="9" t="s">
        <v>1</v>
      </c>
      <c r="C24" s="11" t="s">
        <v>15</v>
      </c>
      <c r="D24" s="12"/>
      <c r="E24" s="12"/>
      <c r="F24" s="12"/>
      <c r="G24" s="12"/>
      <c r="H24" s="12"/>
      <c r="I24" s="12"/>
      <c r="J24" s="12"/>
      <c r="K24" s="12"/>
      <c r="L24" s="13"/>
      <c r="N24" s="9" t="s">
        <v>1</v>
      </c>
      <c r="O24" s="11" t="s">
        <v>15</v>
      </c>
      <c r="P24" s="12"/>
      <c r="Q24" s="12"/>
      <c r="R24" s="12"/>
      <c r="S24" s="12"/>
      <c r="T24" s="12"/>
      <c r="U24" s="12"/>
      <c r="V24" s="12"/>
      <c r="W24" s="12"/>
      <c r="X24" s="13"/>
    </row>
    <row r="25" spans="2:24" x14ac:dyDescent="0.25">
      <c r="B25" s="10"/>
      <c r="C25" s="5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6" t="s">
        <v>8</v>
      </c>
      <c r="J25" s="6" t="s">
        <v>9</v>
      </c>
      <c r="K25" s="6" t="s">
        <v>10</v>
      </c>
      <c r="L25" s="6" t="s">
        <v>11</v>
      </c>
      <c r="N25" s="10"/>
      <c r="O25" s="5" t="s">
        <v>2</v>
      </c>
      <c r="P25" s="6" t="s">
        <v>3</v>
      </c>
      <c r="Q25" s="6" t="s">
        <v>4</v>
      </c>
      <c r="R25" s="6" t="s">
        <v>5</v>
      </c>
      <c r="S25" s="6" t="s">
        <v>6</v>
      </c>
      <c r="T25" s="6" t="s">
        <v>7</v>
      </c>
      <c r="U25" s="6" t="s">
        <v>8</v>
      </c>
      <c r="V25" s="6" t="s">
        <v>9</v>
      </c>
      <c r="W25" s="6" t="s">
        <v>10</v>
      </c>
      <c r="X25" s="6" t="s">
        <v>11</v>
      </c>
    </row>
    <row r="26" spans="2:24" x14ac:dyDescent="0.25">
      <c r="B26" s="2" t="s">
        <v>16</v>
      </c>
      <c r="C26" s="17">
        <v>6822.4278999999997</v>
      </c>
      <c r="D26" s="17">
        <v>6828.1081000000004</v>
      </c>
      <c r="E26" s="17">
        <v>6835.9588000000003</v>
      </c>
      <c r="F26" s="17">
        <v>6836.1844000000001</v>
      </c>
      <c r="G26" s="17">
        <v>6848.8391000000001</v>
      </c>
      <c r="H26" s="17">
        <v>6835.2819</v>
      </c>
      <c r="I26" s="17">
        <v>6836.5455000000002</v>
      </c>
      <c r="J26" s="17">
        <v>6821.2293</v>
      </c>
      <c r="K26" s="17">
        <v>6861.2199000000001</v>
      </c>
      <c r="L26" s="17">
        <v>6870.0339999999997</v>
      </c>
      <c r="N26" s="2" t="s">
        <v>16</v>
      </c>
      <c r="O26" s="17">
        <v>27363.382699999998</v>
      </c>
      <c r="P26" s="17">
        <v>27387.926800000001</v>
      </c>
      <c r="Q26" s="17">
        <v>27381.176899999999</v>
      </c>
      <c r="R26" s="17">
        <v>27327.529699999999</v>
      </c>
      <c r="S26" s="17">
        <v>27337.4666</v>
      </c>
      <c r="T26" s="17">
        <v>27327.599900000001</v>
      </c>
      <c r="U26" s="17">
        <v>27343.325799999999</v>
      </c>
      <c r="V26" s="17">
        <v>27338.926599999999</v>
      </c>
      <c r="W26" s="17">
        <v>27337.6757</v>
      </c>
      <c r="X26" s="17">
        <v>27330.672399999999</v>
      </c>
    </row>
    <row r="27" spans="2:24" x14ac:dyDescent="0.25">
      <c r="B27" s="2" t="s">
        <v>17</v>
      </c>
      <c r="C27" s="17">
        <v>4799.4178000000002</v>
      </c>
      <c r="D27" s="17">
        <v>4794.3950000000004</v>
      </c>
      <c r="E27" s="17">
        <v>4809.8298000000004</v>
      </c>
      <c r="F27" s="17">
        <v>4804.8849</v>
      </c>
      <c r="G27" s="17">
        <v>4816.7280000000001</v>
      </c>
      <c r="H27" s="17">
        <v>4852.0765000000001</v>
      </c>
      <c r="I27" s="17">
        <v>4830.1282000000001</v>
      </c>
      <c r="J27" s="17">
        <v>4806.4421000000002</v>
      </c>
      <c r="K27" s="17">
        <v>4821.2838000000002</v>
      </c>
      <c r="L27" s="17">
        <v>4812.7681000000002</v>
      </c>
      <c r="N27" s="2" t="s">
        <v>17</v>
      </c>
      <c r="O27" s="17">
        <v>19215.418399999999</v>
      </c>
      <c r="P27" s="17">
        <v>19241.4375</v>
      </c>
      <c r="Q27" s="17">
        <v>19223.501400000001</v>
      </c>
      <c r="R27" s="17">
        <v>19213.702799999999</v>
      </c>
      <c r="S27" s="17">
        <v>19222.304199999999</v>
      </c>
      <c r="T27" s="17">
        <v>19215.407299999999</v>
      </c>
      <c r="U27" s="17">
        <v>19194.817899999998</v>
      </c>
      <c r="V27" s="17">
        <v>19243.476999999999</v>
      </c>
      <c r="W27" s="17">
        <v>19251.4326</v>
      </c>
      <c r="X27" s="17">
        <v>19214.823899999999</v>
      </c>
    </row>
    <row r="28" spans="2:24" x14ac:dyDescent="0.25">
      <c r="B28" s="2" t="s">
        <v>18</v>
      </c>
      <c r="C28" s="17">
        <v>10321.585499999999</v>
      </c>
      <c r="D28" s="17">
        <v>10289.7788</v>
      </c>
      <c r="E28" s="17">
        <v>10301.8405</v>
      </c>
      <c r="F28" s="17">
        <v>10328.41</v>
      </c>
      <c r="G28" s="17">
        <v>10299.233099999999</v>
      </c>
      <c r="H28" s="17">
        <v>10319.8912</v>
      </c>
      <c r="I28" s="17">
        <v>10312.39</v>
      </c>
      <c r="J28" s="17">
        <v>10325.7014</v>
      </c>
      <c r="K28" s="17">
        <v>10331.3033</v>
      </c>
      <c r="L28" s="17">
        <v>10304.0525</v>
      </c>
      <c r="N28" s="2" t="s">
        <v>18</v>
      </c>
      <c r="O28" s="17">
        <v>41269.648399999998</v>
      </c>
      <c r="P28" s="17">
        <v>41279.860999999997</v>
      </c>
      <c r="Q28" s="17">
        <v>41265.139600000002</v>
      </c>
      <c r="R28" s="17">
        <v>41271.021000000001</v>
      </c>
      <c r="S28" s="17">
        <v>41278.483099999998</v>
      </c>
      <c r="T28" s="17">
        <v>41251.773399999998</v>
      </c>
      <c r="U28" s="17">
        <v>41269.979500000001</v>
      </c>
      <c r="V28" s="17">
        <v>41264.135199999997</v>
      </c>
      <c r="W28" s="17">
        <v>41278.2572</v>
      </c>
      <c r="X28" s="17">
        <v>41323.147900000004</v>
      </c>
    </row>
    <row r="29" spans="2:24" x14ac:dyDescent="0.25">
      <c r="B29" s="2" t="s">
        <v>19</v>
      </c>
      <c r="C29" s="17">
        <v>5.4253</v>
      </c>
      <c r="D29" s="17">
        <v>5.4547999999999996</v>
      </c>
      <c r="E29" s="17">
        <v>5.3990999999999998</v>
      </c>
      <c r="F29" s="17">
        <v>5.4977</v>
      </c>
      <c r="G29" s="17">
        <v>5.4108999999999998</v>
      </c>
      <c r="H29" s="17">
        <v>5.4120999999999997</v>
      </c>
      <c r="I29" s="17">
        <v>5.4244000000000003</v>
      </c>
      <c r="J29" s="17">
        <v>5.4109999999999996</v>
      </c>
      <c r="K29" s="17">
        <v>5.4176000000000002</v>
      </c>
      <c r="L29" s="17">
        <v>5.4607000000000001</v>
      </c>
      <c r="N29" s="2" t="s">
        <v>19</v>
      </c>
      <c r="O29" s="17">
        <v>11.3969</v>
      </c>
      <c r="P29" s="17">
        <v>11.4687</v>
      </c>
      <c r="Q29" s="17">
        <v>11.0649</v>
      </c>
      <c r="R29" s="17">
        <v>11.2194</v>
      </c>
      <c r="S29" s="17">
        <v>11.270899999999999</v>
      </c>
      <c r="T29" s="17">
        <v>11.3858</v>
      </c>
      <c r="U29" s="17">
        <v>11.273</v>
      </c>
      <c r="V29" s="17">
        <v>11.3184</v>
      </c>
      <c r="W29" s="17">
        <v>11.4008</v>
      </c>
      <c r="X29" s="17">
        <v>11.4329</v>
      </c>
    </row>
    <row r="30" spans="2:24" x14ac:dyDescent="0.25">
      <c r="B30" s="2" t="s">
        <v>20</v>
      </c>
      <c r="C30" s="17">
        <v>3771.7570999999998</v>
      </c>
      <c r="D30" s="17">
        <v>3769.3045000000002</v>
      </c>
      <c r="E30" s="17">
        <v>3769.1568000000002</v>
      </c>
      <c r="F30" s="17">
        <v>3761.6378</v>
      </c>
      <c r="G30" s="17">
        <v>3768.2379999999998</v>
      </c>
      <c r="H30" s="17">
        <v>3767.4589999999998</v>
      </c>
      <c r="I30" s="17">
        <v>3766.5594000000001</v>
      </c>
      <c r="J30" s="17">
        <v>3766.7325999999998</v>
      </c>
      <c r="K30" s="17">
        <v>3772.6840999999999</v>
      </c>
      <c r="L30" s="17">
        <v>3771.6903000000002</v>
      </c>
      <c r="N30" s="2" t="s">
        <v>20</v>
      </c>
      <c r="O30" s="17">
        <v>14976.775</v>
      </c>
      <c r="P30" s="17">
        <v>15015.599899999999</v>
      </c>
      <c r="Q30" s="17">
        <v>15545.322399999999</v>
      </c>
      <c r="R30" s="17">
        <v>15422.139800000001</v>
      </c>
      <c r="S30" s="17">
        <v>15174.266600000001</v>
      </c>
      <c r="T30" s="17">
        <v>15204.319100000001</v>
      </c>
      <c r="U30" s="17">
        <v>15199.038699999999</v>
      </c>
      <c r="V30" s="17">
        <v>15195.9419</v>
      </c>
      <c r="W30" s="17">
        <v>15189.4161</v>
      </c>
      <c r="X30" s="17">
        <v>15180.9566</v>
      </c>
    </row>
    <row r="31" spans="2:24" x14ac:dyDescent="0.25">
      <c r="B31" s="2" t="s">
        <v>21</v>
      </c>
      <c r="C31" s="18">
        <v>3.4788999999999999</v>
      </c>
      <c r="D31" s="17">
        <v>3.7099000000000002</v>
      </c>
      <c r="E31" s="17">
        <v>3.4218000000000002</v>
      </c>
      <c r="F31" s="17">
        <v>3.4756</v>
      </c>
      <c r="G31" s="17">
        <v>3.3258999999999999</v>
      </c>
      <c r="H31" s="17">
        <v>3.6433</v>
      </c>
      <c r="I31" s="17">
        <v>3.7412999999999998</v>
      </c>
      <c r="J31" s="17">
        <v>3.5468999999999999</v>
      </c>
      <c r="K31" s="17">
        <v>3.5026999999999999</v>
      </c>
      <c r="L31" s="17">
        <v>3.4451999999999998</v>
      </c>
      <c r="N31" s="2" t="s">
        <v>21</v>
      </c>
      <c r="O31" s="18">
        <v>7.4846000000000004</v>
      </c>
      <c r="P31" s="17">
        <v>8.3389000000000006</v>
      </c>
      <c r="Q31" s="17">
        <v>7.4577</v>
      </c>
      <c r="R31" s="17">
        <v>7.8689999999999998</v>
      </c>
      <c r="S31" s="17">
        <v>7.8190999999999997</v>
      </c>
      <c r="T31" s="17">
        <v>7.4185999999999996</v>
      </c>
      <c r="U31" s="17">
        <v>7.1981000000000002</v>
      </c>
      <c r="V31" s="17">
        <v>7.1997999999999998</v>
      </c>
      <c r="W31" s="17">
        <v>7.4268000000000001</v>
      </c>
      <c r="X31" s="17">
        <v>7.3613999999999997</v>
      </c>
    </row>
    <row r="34" spans="2:17" x14ac:dyDescent="0.25">
      <c r="B34" s="9" t="s">
        <v>1</v>
      </c>
      <c r="C34" s="16" t="s">
        <v>22</v>
      </c>
      <c r="D34" s="12"/>
      <c r="E34" s="12"/>
      <c r="F34" s="12"/>
      <c r="G34" s="12"/>
      <c r="H34" s="13"/>
      <c r="K34" s="1" t="s">
        <v>25</v>
      </c>
      <c r="L34" s="1">
        <f>C35</f>
        <v>1000</v>
      </c>
      <c r="M34" s="1">
        <f t="shared" ref="M34:Q34" si="0">D35</f>
        <v>5000</v>
      </c>
      <c r="N34" s="1">
        <f t="shared" si="0"/>
        <v>10000</v>
      </c>
      <c r="O34" s="1">
        <f t="shared" si="0"/>
        <v>50000</v>
      </c>
      <c r="P34" s="1">
        <f t="shared" si="0"/>
        <v>100000</v>
      </c>
      <c r="Q34" s="1">
        <f t="shared" si="0"/>
        <v>200000</v>
      </c>
    </row>
    <row r="35" spans="2:17" x14ac:dyDescent="0.25">
      <c r="B35" s="10"/>
      <c r="C35" s="2">
        <v>1000</v>
      </c>
      <c r="D35" s="2">
        <v>5000</v>
      </c>
      <c r="E35" s="2">
        <v>10000</v>
      </c>
      <c r="F35" s="2">
        <v>50000</v>
      </c>
      <c r="G35" s="2">
        <v>100000</v>
      </c>
      <c r="H35" s="2">
        <v>200000</v>
      </c>
      <c r="K35" s="1" t="s">
        <v>27</v>
      </c>
      <c r="L35" s="1">
        <f>C35^2</f>
        <v>1000000</v>
      </c>
      <c r="M35" s="1">
        <f t="shared" ref="M35:Q35" si="1">D35^2</f>
        <v>25000000</v>
      </c>
      <c r="N35" s="1">
        <f t="shared" si="1"/>
        <v>100000000</v>
      </c>
      <c r="O35" s="1">
        <f t="shared" si="1"/>
        <v>2500000000</v>
      </c>
      <c r="P35" s="1">
        <f t="shared" si="1"/>
        <v>10000000000</v>
      </c>
      <c r="Q35" s="1">
        <f t="shared" si="1"/>
        <v>40000000000</v>
      </c>
    </row>
    <row r="36" spans="2:17" x14ac:dyDescent="0.25">
      <c r="B36" s="2" t="s">
        <v>16</v>
      </c>
      <c r="C36" s="17">
        <f t="shared" ref="C36:C41" si="2">IF(COUNTBLANK(C6:L6)&gt;0,"undone",TRIMMEAN(C6:L6,2/COUNT(C6:L6)))</f>
        <v>0.6886000000000001</v>
      </c>
      <c r="D36" s="17">
        <f t="shared" ref="D36:D41" si="3">IF(COUNTBLANK(O6:X6)&gt;0,"undone",TRIMMEAN(O6:X6,2/COUNT(O6:X6)))</f>
        <v>17.181287500000003</v>
      </c>
      <c r="E36" s="17">
        <f t="shared" ref="E36:E41" si="4">IF(COUNTBLANK(C16:L16)&gt;0,"undone",TRIMMEAN(C16:L16,2/COUNT(C16:L16)))</f>
        <v>68.065174999999996</v>
      </c>
      <c r="F36" s="17">
        <f t="shared" ref="F36:F41" si="5">IF(COUNTBLANK(O16:X16)&gt;0,"undone",TRIMMEAN(O16:X16,2/COUNT(O16:X16)))</f>
        <v>1705.1829875000003</v>
      </c>
      <c r="G36" s="17">
        <f t="shared" ref="G36:G41" si="6">IF(COUNTBLANK(C26:L26)&gt;0,"undone",TRIMMEAN(C26:L26,2/COUNT(C26:L26)))</f>
        <v>6838.0707000000002</v>
      </c>
      <c r="H36" s="17">
        <f t="shared" ref="H36:H41" si="7">IF(COUNTBLANK(O26:X26)&gt;0,"undone",TRIMMEAN(O26:X26,2/COUNT(O26:X26)))</f>
        <v>27345.028324999999</v>
      </c>
      <c r="K36" s="1" t="s">
        <v>26</v>
      </c>
      <c r="L36" s="1">
        <f>C35*LOG(C35)</f>
        <v>3000</v>
      </c>
      <c r="M36" s="1">
        <f t="shared" ref="M36:Q36" si="8">D35*LOG(D35)</f>
        <v>18494.850021680093</v>
      </c>
      <c r="N36" s="1">
        <f t="shared" si="8"/>
        <v>40000</v>
      </c>
      <c r="O36" s="1">
        <f t="shared" si="8"/>
        <v>234948.50021680092</v>
      </c>
      <c r="P36" s="1">
        <f t="shared" si="8"/>
        <v>500000</v>
      </c>
      <c r="Q36" s="1">
        <f t="shared" si="8"/>
        <v>1060205.9991327962</v>
      </c>
    </row>
    <row r="37" spans="2:17" x14ac:dyDescent="0.25">
      <c r="B37" s="2" t="s">
        <v>17</v>
      </c>
      <c r="C37" s="17">
        <f t="shared" si="2"/>
        <v>0.47663749999999994</v>
      </c>
      <c r="D37" s="17">
        <f t="shared" si="3"/>
        <v>12.096499999999999</v>
      </c>
      <c r="E37" s="17">
        <f t="shared" si="4"/>
        <v>48.477149999999995</v>
      </c>
      <c r="F37" s="17">
        <f t="shared" si="5"/>
        <v>1199.2007250000001</v>
      </c>
      <c r="G37" s="17">
        <f t="shared" si="6"/>
        <v>4812.6853375000001</v>
      </c>
      <c r="H37" s="17">
        <f t="shared" si="7"/>
        <v>19223.759062499998</v>
      </c>
    </row>
    <row r="38" spans="2:17" x14ac:dyDescent="0.25">
      <c r="B38" s="2" t="s">
        <v>18</v>
      </c>
      <c r="C38" s="17">
        <f t="shared" si="2"/>
        <v>1.0025249999999999</v>
      </c>
      <c r="D38" s="17">
        <f t="shared" si="3"/>
        <v>26.357112499999999</v>
      </c>
      <c r="E38" s="17">
        <f t="shared" si="4"/>
        <v>102.8498125</v>
      </c>
      <c r="F38" s="17">
        <f t="shared" si="5"/>
        <v>2572.6449124999999</v>
      </c>
      <c r="G38" s="17">
        <f t="shared" si="6"/>
        <v>10314.138025</v>
      </c>
      <c r="H38" s="17">
        <f t="shared" si="7"/>
        <v>41272.065625000003</v>
      </c>
    </row>
    <row r="39" spans="2:17" x14ac:dyDescent="0.25">
      <c r="B39" s="2" t="s">
        <v>19</v>
      </c>
      <c r="C39" s="17">
        <f t="shared" si="2"/>
        <v>3.5649999999999994E-2</v>
      </c>
      <c r="D39" s="17">
        <f t="shared" si="3"/>
        <v>0.24495000000000003</v>
      </c>
      <c r="E39" s="17">
        <f t="shared" si="4"/>
        <v>0.45091250000000005</v>
      </c>
      <c r="F39" s="17">
        <f t="shared" si="5"/>
        <v>2.5379874999999998</v>
      </c>
      <c r="G39" s="17">
        <f t="shared" si="6"/>
        <v>5.4271000000000003</v>
      </c>
      <c r="H39" s="17">
        <f t="shared" si="7"/>
        <v>11.3372625</v>
      </c>
    </row>
    <row r="40" spans="2:17" x14ac:dyDescent="0.25">
      <c r="B40" s="2" t="s">
        <v>20</v>
      </c>
      <c r="C40" s="17">
        <f t="shared" si="2"/>
        <v>0.38613750000000002</v>
      </c>
      <c r="D40" s="17">
        <f t="shared" si="3"/>
        <v>9.6222500000000011</v>
      </c>
      <c r="E40" s="17">
        <f t="shared" si="4"/>
        <v>38.272924999999994</v>
      </c>
      <c r="F40" s="17">
        <f t="shared" si="5"/>
        <v>946.50459999999998</v>
      </c>
      <c r="G40" s="17">
        <f t="shared" si="6"/>
        <v>3768.8622124999993</v>
      </c>
      <c r="H40" s="17">
        <f t="shared" si="7"/>
        <v>15197.709837500002</v>
      </c>
    </row>
    <row r="41" spans="2:17" x14ac:dyDescent="0.25">
      <c r="B41" s="2" t="s">
        <v>21</v>
      </c>
      <c r="C41" s="17">
        <f t="shared" si="2"/>
        <v>2.7449999999999999E-2</v>
      </c>
      <c r="D41" s="17">
        <f t="shared" si="3"/>
        <v>0.15161249999999998</v>
      </c>
      <c r="E41" s="17">
        <f t="shared" si="4"/>
        <v>0.31336249999999999</v>
      </c>
      <c r="F41" s="17">
        <f t="shared" si="5"/>
        <v>1.6390499999999999</v>
      </c>
      <c r="G41" s="17">
        <f t="shared" si="6"/>
        <v>3.5280375000000004</v>
      </c>
      <c r="H41" s="17">
        <f t="shared" si="7"/>
        <v>7.5046250000000008</v>
      </c>
    </row>
    <row r="44" spans="2:17" ht="27.6" x14ac:dyDescent="0.25">
      <c r="B44" s="1" t="s">
        <v>23</v>
      </c>
      <c r="F44" s="8" t="s">
        <v>24</v>
      </c>
    </row>
  </sheetData>
  <mergeCells count="15">
    <mergeCell ref="B34:B35"/>
    <mergeCell ref="C34:H34"/>
    <mergeCell ref="B24:B25"/>
    <mergeCell ref="C24:L24"/>
    <mergeCell ref="N24:N25"/>
    <mergeCell ref="O24:X24"/>
    <mergeCell ref="A1:B1"/>
    <mergeCell ref="B4:B5"/>
    <mergeCell ref="C4:L4"/>
    <mergeCell ref="N4:N5"/>
    <mergeCell ref="O4:X4"/>
    <mergeCell ref="B14:B15"/>
    <mergeCell ref="C14:L14"/>
    <mergeCell ref="N14:N15"/>
    <mergeCell ref="O14:X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แผนภูมิ</vt:lpstr>
      </vt:variant>
      <vt:variant>
        <vt:i4>3</vt:i4>
      </vt:variant>
    </vt:vector>
  </HeadingPairs>
  <TitlesOfParts>
    <vt:vector size="6" baseType="lpstr">
      <vt:lpstr>Random</vt:lpstr>
      <vt:lpstr>Sorted</vt:lpstr>
      <vt:lpstr>Rev-Sorted</vt:lpstr>
      <vt:lpstr>random_grpah</vt:lpstr>
      <vt:lpstr>sorted_grpah </vt:lpstr>
      <vt:lpstr>rev_sorted_grpah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phuree teekapakvisit</dc:creator>
  <cp:lastModifiedBy>phuree teekapakvisit</cp:lastModifiedBy>
  <dcterms:created xsi:type="dcterms:W3CDTF">2026-08-22T10:17:32Z</dcterms:created>
  <dcterms:modified xsi:type="dcterms:W3CDTF">2026-09-09T11:12:37Z</dcterms:modified>
</cp:coreProperties>
</file>