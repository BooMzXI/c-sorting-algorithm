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3E229B1F-2017-49F2-8576-40324C508EC3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3" l="1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O3" i="1"/>
  <c r="C3" i="1"/>
</calcChain>
</file>

<file path=xl/sharedStrings.xml><?xml version="1.0" encoding="utf-8"?>
<sst xmlns="http://schemas.openxmlformats.org/spreadsheetml/2006/main" count="373" uniqueCount="27">
  <si>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</si>
  <si>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</si>
  <si>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</si>
  <si>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</si>
  <si>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</si>
  <si>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</si>
  <si>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</si>
  <si>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</si>
  <si>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</si>
  <si>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</si>
  <si>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</si>
  <si>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</si>
  <si>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</si>
  <si>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</si>
  <si>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</si>
  <si>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dsaasdasd</t>
  </si>
  <si>
    <t>Run time (ms)</t>
  </si>
  <si>
    <t>random</t>
  </si>
  <si>
    <t>sorted</t>
  </si>
  <si>
    <t>rev-sorted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</si>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</sst>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3.4000000000000002E-3</c:v>
                </c:pt>
                <c:pt idx="1">
                  <c:v>9.6729999999999997E-2</c:v>
                </c:pt>
                <c:pt idx="2">
                  <c:v>0.34319</c:v>
                </c:pt>
                <c:pt idx="3">
                  <c:v>8.9106600000000018</c:v>
                </c:pt>
                <c:pt idx="4">
                  <c:v>34.29101</c:v>
                </c:pt>
                <c:pt idx="5">
                  <c:v>924.20444999999995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DB-4CAD-97D5-DAE1C71B4C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5.2100000000000002E-3</c:v>
                </c:pt>
                <c:pt idx="1">
                  <c:v>0.11685999999999999</c:v>
                </c:pt>
                <c:pt idx="2">
                  <c:v>0.47793000000000002</c:v>
                </c:pt>
                <c:pt idx="3">
                  <c:v>11.00845</c:v>
                </c:pt>
                <c:pt idx="4">
                  <c:v>47.933389999999996</c:v>
                </c:pt>
                <c:pt idx="5">
                  <c:v>1546.0603700000001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DB-4CAD-97D5-DAE1C71B4C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8.9900000000000015E-3</c:v>
                </c:pt>
                <c:pt idx="1">
                  <c:v>0.22323999999999997</c:v>
                </c:pt>
                <c:pt idx="2">
                  <c:v>0.86520999999999992</c:v>
                </c:pt>
                <c:pt idx="3">
                  <c:v>20.974539999999998</c:v>
                </c:pt>
                <c:pt idx="4">
                  <c:v>89.085650000000001</c:v>
                </c:pt>
                <c:pt idx="5">
                  <c:v>3090.3531499999999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DB-4CAD-97D5-DAE1C71B4C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3.2099999999999997E-3</c:v>
                </c:pt>
                <c:pt idx="1">
                  <c:v>1.9649999999999997E-2</c:v>
                </c:pt>
                <c:pt idx="2">
                  <c:v>4.3359999999999996E-2</c:v>
                </c:pt>
                <c:pt idx="3">
                  <c:v>0.33721999999999996</c:v>
                </c:pt>
                <c:pt idx="4">
                  <c:v>0.88151000000000013</c:v>
                </c:pt>
                <c:pt idx="5">
                  <c:v>6.7085000000000008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DB-4CAD-97D5-DAE1C71B4C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1.7599999999999998E-3</c:v>
                </c:pt>
                <c:pt idx="1">
                  <c:v>9.9300000000000013E-3</c:v>
                </c:pt>
                <c:pt idx="2">
                  <c:v>2.6549999999999997E-2</c:v>
                </c:pt>
                <c:pt idx="3">
                  <c:v>0.22603999999999996</c:v>
                </c:pt>
                <c:pt idx="4">
                  <c:v>0.51679000000000008</c:v>
                </c:pt>
                <c:pt idx="5">
                  <c:v>4.6064799999999995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DB-4CAD-97D5-DAE1C71B4C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3.7600000000000003E-3</c:v>
                </c:pt>
                <c:pt idx="1">
                  <c:v>1.9910000000000001E-2</c:v>
                </c:pt>
                <c:pt idx="2">
                  <c:v>4.3620000000000006E-2</c:v>
                </c:pt>
                <c:pt idx="3">
                  <c:v>0.30737999999999999</c:v>
                </c:pt>
                <c:pt idx="4">
                  <c:v>0.67976999999999999</c:v>
                </c:pt>
                <c:pt idx="5">
                  <c:v>5.8393899999999999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DB-4CAD-97D5-DAE1C71B4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2.7999999999999998E-4</c:v>
                </c:pt>
                <c:pt idx="1">
                  <c:v>1.2399999999999998E-3</c:v>
                </c:pt>
                <c:pt idx="2">
                  <c:v>2.4799999999999996E-3</c:v>
                </c:pt>
                <c:pt idx="3">
                  <c:v>1.2260000000000002E-2</c:v>
                </c:pt>
                <c:pt idx="4">
                  <c:v>2.4469999999999999E-2</c:v>
                </c:pt>
                <c:pt idx="5">
                  <c:v>0.12282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B-48E2-903B-EDAC9EB108BE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7.3800000000000003E-3</c:v>
                </c:pt>
                <c:pt idx="1">
                  <c:v>0.15373000000000001</c:v>
                </c:pt>
                <c:pt idx="2">
                  <c:v>0.64056000000000002</c:v>
                </c:pt>
                <c:pt idx="3">
                  <c:v>15.431139999999999</c:v>
                </c:pt>
                <c:pt idx="4">
                  <c:v>61.678290000000004</c:v>
                </c:pt>
                <c:pt idx="5">
                  <c:v>1588.5216599999999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FB-48E2-903B-EDAC9EB108BE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7.5699999999999986E-3</c:v>
                </c:pt>
                <c:pt idx="1">
                  <c:v>0.18410999999999997</c:v>
                </c:pt>
                <c:pt idx="2">
                  <c:v>0.75385000000000013</c:v>
                </c:pt>
                <c:pt idx="3">
                  <c:v>18.468240000000002</c:v>
                </c:pt>
                <c:pt idx="4">
                  <c:v>76.96871999999999</c:v>
                </c:pt>
                <c:pt idx="5">
                  <c:v>1909.0088900000003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FB-48E2-903B-EDAC9EB108BE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4.0300000000000006E-3</c:v>
                </c:pt>
                <c:pt idx="1">
                  <c:v>2.3880000000000002E-2</c:v>
                </c:pt>
                <c:pt idx="2">
                  <c:v>5.1610000000000003E-2</c:v>
                </c:pt>
                <c:pt idx="3">
                  <c:v>0.30335000000000001</c:v>
                </c:pt>
                <c:pt idx="4">
                  <c:v>0.64549999999999996</c:v>
                </c:pt>
                <c:pt idx="5">
                  <c:v>3.6855800000000003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FB-48E2-903B-EDAC9EB108BE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6.2899999999999996E-3</c:v>
                </c:pt>
                <c:pt idx="1">
                  <c:v>0.14540000000000003</c:v>
                </c:pt>
                <c:pt idx="2">
                  <c:v>0.56005000000000005</c:v>
                </c:pt>
                <c:pt idx="3">
                  <c:v>13.764590000000002</c:v>
                </c:pt>
                <c:pt idx="4">
                  <c:v>55.286710000000006</c:v>
                </c:pt>
                <c:pt idx="5">
                  <c:v>1396.0238599999998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6FB-48E2-903B-EDAC9EB108BE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3.7500000000000007E-3</c:v>
                </c:pt>
                <c:pt idx="1">
                  <c:v>2.0990000000000002E-2</c:v>
                </c:pt>
                <c:pt idx="2">
                  <c:v>7.1000000000000008E-2</c:v>
                </c:pt>
                <c:pt idx="3">
                  <c:v>0.22716000000000003</c:v>
                </c:pt>
                <c:pt idx="4">
                  <c:v>0.40522999999999998</c:v>
                </c:pt>
                <c:pt idx="5">
                  <c:v>2.9529099999999997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FB-48E2-903B-EDAC9EB1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9.9400000000000009E-3</c:v>
                </c:pt>
                <c:pt idx="1">
                  <c:v>0.25718000000000002</c:v>
                </c:pt>
                <c:pt idx="2">
                  <c:v>0.98943999999999988</c:v>
                </c:pt>
                <c:pt idx="3">
                  <c:v>24.39499</c:v>
                </c:pt>
                <c:pt idx="4">
                  <c:v>100.12429999999999</c:v>
                </c:pt>
                <c:pt idx="5">
                  <c:v>2476.5824499999999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22-44D7-AFB0-CBB380D18640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7.5899999999999995E-3</c:v>
                </c:pt>
                <c:pt idx="1">
                  <c:v>0.18755999999999998</c:v>
                </c:pt>
                <c:pt idx="2">
                  <c:v>0.74761999999999995</c:v>
                </c:pt>
                <c:pt idx="3">
                  <c:v>17.236690000000003</c:v>
                </c:pt>
                <c:pt idx="4">
                  <c:v>69.557220000000001</c:v>
                </c:pt>
                <c:pt idx="5">
                  <c:v>1754.2494900000002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22-44D7-AFB0-CBB380D18640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1.7080000000000001E-2</c:v>
                </c:pt>
                <c:pt idx="1">
                  <c:v>0.39037000000000005</c:v>
                </c:pt>
                <c:pt idx="2">
                  <c:v>1.581</c:v>
                </c:pt>
                <c:pt idx="3">
                  <c:v>39.528110000000005</c:v>
                </c:pt>
                <c:pt idx="4">
                  <c:v>158.68270999999999</c:v>
                </c:pt>
                <c:pt idx="5">
                  <c:v>4058.2056299999995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22-44D7-AFB0-CBB380D18640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4.0300000000000006E-3</c:v>
                </c:pt>
                <c:pt idx="1">
                  <c:v>2.3870000000000002E-2</c:v>
                </c:pt>
                <c:pt idx="2">
                  <c:v>5.1280000000000006E-2</c:v>
                </c:pt>
                <c:pt idx="3">
                  <c:v>0.30186999999999997</c:v>
                </c:pt>
                <c:pt idx="4">
                  <c:v>0.66477000000000008</c:v>
                </c:pt>
                <c:pt idx="5">
                  <c:v>3.7321400000000002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22-44D7-AFB0-CBB380D18640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5.9699999999999987E-3</c:v>
                </c:pt>
                <c:pt idx="1">
                  <c:v>0.14348</c:v>
                </c:pt>
                <c:pt idx="2">
                  <c:v>0.56440000000000001</c:v>
                </c:pt>
                <c:pt idx="3">
                  <c:v>13.838179999999999</c:v>
                </c:pt>
                <c:pt idx="4">
                  <c:v>55.233159999999998</c:v>
                </c:pt>
                <c:pt idx="5">
                  <c:v>1385.84139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22-44D7-AFB0-CBB380D18640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4.2099999999999993E-3</c:v>
                </c:pt>
                <c:pt idx="1">
                  <c:v>2.1399999999999999E-2</c:v>
                </c:pt>
                <c:pt idx="2">
                  <c:v>4.3570000000000005E-2</c:v>
                </c:pt>
                <c:pt idx="3">
                  <c:v>0.28176999999999996</c:v>
                </c:pt>
                <c:pt idx="4">
                  <c:v>0.52821000000000007</c:v>
                </c:pt>
                <c:pt idx="5">
                  <c:v>2.6694100000000001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22-44D7-AFB0-CBB380D18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14</xdr:col>
      <xdr:colOff>298200</xdr:colOff>
      <xdr:row>18</xdr:row>
      <xdr:rowOff>26861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50378A52-FA34-4369-9784-7FB656E9F19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173181</xdr:rowOff>
    </xdr:from>
    <xdr:to>
      <xdr:col>14</xdr:col>
      <xdr:colOff>325909</xdr:colOff>
      <xdr:row>18</xdr:row>
      <xdr:rowOff>69490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BC916318-9236-4F87-97BB-1578A818F7E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2</xdr:row>
      <xdr:rowOff>0</xdr:rowOff>
    </xdr:from>
    <xdr:to>
      <xdr:col>14</xdr:col>
      <xdr:colOff>343921</xdr:colOff>
      <xdr:row>18</xdr:row>
      <xdr:rowOff>34297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34FC23B-5C7A-46E6-98E3-8A7FD64E0F1E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1"/>
  <sheetViews>
    <sheetView tabSelected="1" zoomScale="70" zoomScaleNormal="70" workbookViewId="0">
      <selection activeCell="O35" sqref="O35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3" t="s">
        <v>0</v>
      </c>
      <c r="B1" s="14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8" t="s">
        <v>1</v>
      </c>
      <c r="C4" s="10" t="s">
        <v>16</v>
      </c>
      <c r="D4" s="11"/>
      <c r="E4" s="11"/>
      <c r="F4" s="11"/>
      <c r="G4" s="11"/>
      <c r="H4" s="11"/>
      <c r="I4" s="11"/>
      <c r="J4" s="11"/>
      <c r="K4" s="11"/>
      <c r="L4" s="12"/>
      <c r="N4" s="8" t="s">
        <v>1</v>
      </c>
      <c r="O4" s="10" t="s">
        <v>16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9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9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16">
        <v>4.1000000000000003E-3</v>
      </c>
      <c r="D6" s="16">
        <v>3.5000000000000001E-3</v>
      </c>
      <c r="E6" s="16">
        <v>3.3E-3</v>
      </c>
      <c r="F6" s="16">
        <v>3.3E-3</v>
      </c>
      <c r="G6" s="16">
        <v>3.3E-3</v>
      </c>
      <c r="H6" s="16">
        <v>3.3E-3</v>
      </c>
      <c r="I6" s="16">
        <v>3.3E-3</v>
      </c>
      <c r="J6" s="16">
        <v>3.3E-3</v>
      </c>
      <c r="K6" s="16">
        <v>3.3E-3</v>
      </c>
      <c r="L6" s="16">
        <v>3.3E-3</v>
      </c>
      <c r="N6" s="2" t="s">
        <v>20</v>
      </c>
      <c r="O6" s="16">
        <v>9.6799999999999997E-2</v>
      </c>
      <c r="P6" s="16">
        <v>9.6299999999999997E-2</v>
      </c>
      <c r="Q6" s="16">
        <v>9.6000000000000002E-2</v>
      </c>
      <c r="R6" s="16">
        <v>9.5799999999999996E-2</v>
      </c>
      <c r="S6" s="16">
        <v>9.5899999999999999E-2</v>
      </c>
      <c r="T6" s="16">
        <v>9.6000000000000002E-2</v>
      </c>
      <c r="U6" s="16">
        <v>9.6000000000000002E-2</v>
      </c>
      <c r="V6" s="16">
        <v>9.6000000000000002E-2</v>
      </c>
      <c r="W6" s="16">
        <v>0.10249999999999999</v>
      </c>
      <c r="X6" s="16">
        <v>9.6000000000000002E-2</v>
      </c>
    </row>
    <row r="7" spans="1:24" x14ac:dyDescent="0.25">
      <c r="B7" s="2" t="s">
        <v>21</v>
      </c>
      <c r="C7" s="16">
        <v>7.4999999999999997E-3</v>
      </c>
      <c r="D7" s="16">
        <v>7.1999999999999998E-3</v>
      </c>
      <c r="E7" s="16">
        <v>5.1000000000000004E-3</v>
      </c>
      <c r="F7" s="16">
        <v>4.5999999999999999E-3</v>
      </c>
      <c r="G7" s="16">
        <v>4.5999999999999999E-3</v>
      </c>
      <c r="H7" s="16">
        <v>4.5999999999999999E-3</v>
      </c>
      <c r="I7" s="16">
        <v>4.5999999999999999E-3</v>
      </c>
      <c r="J7" s="16">
        <v>4.5999999999999999E-3</v>
      </c>
      <c r="K7" s="16">
        <v>4.5999999999999999E-3</v>
      </c>
      <c r="L7" s="16">
        <v>4.7000000000000002E-3</v>
      </c>
      <c r="N7" s="2" t="s">
        <v>21</v>
      </c>
      <c r="O7" s="16">
        <v>0.12640000000000001</v>
      </c>
      <c r="P7" s="16">
        <v>0.12189999999999999</v>
      </c>
      <c r="Q7" s="16">
        <v>0.1179</v>
      </c>
      <c r="R7" s="16">
        <v>0.1195</v>
      </c>
      <c r="S7" s="16">
        <v>0.1143</v>
      </c>
      <c r="T7" s="16">
        <v>0.1139</v>
      </c>
      <c r="U7" s="16">
        <v>0.1137</v>
      </c>
      <c r="V7" s="16">
        <v>0.1138</v>
      </c>
      <c r="W7" s="16">
        <v>0.11360000000000001</v>
      </c>
      <c r="X7" s="16">
        <v>0.11360000000000001</v>
      </c>
    </row>
    <row r="8" spans="1:24" x14ac:dyDescent="0.25">
      <c r="B8" s="2" t="s">
        <v>22</v>
      </c>
      <c r="C8" s="16">
        <v>1.17E-2</v>
      </c>
      <c r="D8" s="16">
        <v>1.0500000000000001E-2</v>
      </c>
      <c r="E8" s="16">
        <v>8.9999999999999993E-3</v>
      </c>
      <c r="F8" s="16">
        <v>8.5000000000000006E-3</v>
      </c>
      <c r="G8" s="16">
        <v>8.3000000000000001E-3</v>
      </c>
      <c r="H8" s="16">
        <v>8.3000000000000001E-3</v>
      </c>
      <c r="I8" s="16">
        <v>8.3999999999999995E-3</v>
      </c>
      <c r="J8" s="16">
        <v>8.3999999999999995E-3</v>
      </c>
      <c r="K8" s="16">
        <v>8.3999999999999995E-3</v>
      </c>
      <c r="L8" s="16">
        <v>8.3999999999999995E-3</v>
      </c>
      <c r="N8" s="2" t="s">
        <v>22</v>
      </c>
      <c r="O8" s="16">
        <v>0.23680000000000001</v>
      </c>
      <c r="P8" s="16">
        <v>0.2329</v>
      </c>
      <c r="Q8" s="16">
        <v>0.23019999999999999</v>
      </c>
      <c r="R8" s="16">
        <v>0.22059999999999999</v>
      </c>
      <c r="S8" s="16">
        <v>0.21940000000000001</v>
      </c>
      <c r="T8" s="16">
        <v>0.21829999999999999</v>
      </c>
      <c r="U8" s="16">
        <v>0.217</v>
      </c>
      <c r="V8" s="16">
        <v>0.2223</v>
      </c>
      <c r="W8" s="16">
        <v>0.2175</v>
      </c>
      <c r="X8" s="16">
        <v>0.21740000000000001</v>
      </c>
    </row>
    <row r="9" spans="1:24" x14ac:dyDescent="0.25">
      <c r="B9" s="2" t="s">
        <v>23</v>
      </c>
      <c r="C9" s="16">
        <v>5.4999999999999997E-3</v>
      </c>
      <c r="D9" s="16">
        <v>3.3999999999999998E-3</v>
      </c>
      <c r="E9" s="16">
        <v>2.8999999999999998E-3</v>
      </c>
      <c r="F9" s="16">
        <v>2.8999999999999998E-3</v>
      </c>
      <c r="G9" s="16">
        <v>2.8999999999999998E-3</v>
      </c>
      <c r="H9" s="16">
        <v>2.8999999999999998E-3</v>
      </c>
      <c r="I9" s="16">
        <v>2.8999999999999998E-3</v>
      </c>
      <c r="J9" s="16">
        <v>2.8999999999999998E-3</v>
      </c>
      <c r="K9" s="16">
        <v>2.8999999999999998E-3</v>
      </c>
      <c r="L9" s="16">
        <v>2.8999999999999998E-3</v>
      </c>
      <c r="N9" s="2" t="s">
        <v>23</v>
      </c>
      <c r="O9" s="16">
        <v>2.9899999999999999E-2</v>
      </c>
      <c r="P9" s="16">
        <v>2.07E-2</v>
      </c>
      <c r="Q9" s="16">
        <v>1.8200000000000001E-2</v>
      </c>
      <c r="R9" s="16">
        <v>1.8200000000000001E-2</v>
      </c>
      <c r="S9" s="16">
        <v>1.7999999999999999E-2</v>
      </c>
      <c r="T9" s="16">
        <v>1.7899999999999999E-2</v>
      </c>
      <c r="U9" s="16">
        <v>1.7999999999999999E-2</v>
      </c>
      <c r="V9" s="16">
        <v>1.7999999999999999E-2</v>
      </c>
      <c r="W9" s="16">
        <v>1.9599999999999999E-2</v>
      </c>
      <c r="X9" s="16">
        <v>1.7999999999999999E-2</v>
      </c>
    </row>
    <row r="10" spans="1:24" x14ac:dyDescent="0.25">
      <c r="B10" s="2" t="s">
        <v>24</v>
      </c>
      <c r="C10" s="16">
        <v>3.5000000000000001E-3</v>
      </c>
      <c r="D10" s="16">
        <v>2.5999999999999999E-3</v>
      </c>
      <c r="E10" s="16">
        <v>1.6000000000000001E-3</v>
      </c>
      <c r="F10" s="16">
        <v>1.4E-3</v>
      </c>
      <c r="G10" s="16">
        <v>1.4E-3</v>
      </c>
      <c r="H10" s="16">
        <v>1.4E-3</v>
      </c>
      <c r="I10" s="16">
        <v>1.4E-3</v>
      </c>
      <c r="J10" s="16">
        <v>1.4E-3</v>
      </c>
      <c r="K10" s="16">
        <v>1.5E-3</v>
      </c>
      <c r="L10" s="16">
        <v>1.4E-3</v>
      </c>
      <c r="N10" s="2" t="s">
        <v>24</v>
      </c>
      <c r="O10" s="16">
        <v>1.95E-2</v>
      </c>
      <c r="P10" s="16">
        <v>1.0800000000000001E-2</v>
      </c>
      <c r="Q10" s="16">
        <v>8.8000000000000005E-3</v>
      </c>
      <c r="R10" s="16">
        <v>8.6999999999999994E-3</v>
      </c>
      <c r="S10" s="16">
        <v>8.6E-3</v>
      </c>
      <c r="T10" s="16">
        <v>8.5000000000000006E-3</v>
      </c>
      <c r="U10" s="16">
        <v>8.6E-3</v>
      </c>
      <c r="V10" s="16">
        <v>8.6E-3</v>
      </c>
      <c r="W10" s="16">
        <v>8.5000000000000006E-3</v>
      </c>
      <c r="X10" s="16">
        <v>8.6999999999999994E-3</v>
      </c>
    </row>
    <row r="11" spans="1:24" x14ac:dyDescent="0.25">
      <c r="B11" s="2" t="s">
        <v>25</v>
      </c>
      <c r="C11" s="17">
        <v>6.8999999999999999E-3</v>
      </c>
      <c r="D11" s="16">
        <v>3.8999999999999998E-3</v>
      </c>
      <c r="E11" s="16">
        <v>3.3E-3</v>
      </c>
      <c r="F11" s="16">
        <v>4.1000000000000003E-3</v>
      </c>
      <c r="G11" s="16">
        <v>3.3999999999999998E-3</v>
      </c>
      <c r="H11" s="16">
        <v>3.2000000000000002E-3</v>
      </c>
      <c r="I11" s="16">
        <v>3.0999999999999999E-3</v>
      </c>
      <c r="J11" s="16">
        <v>3.3E-3</v>
      </c>
      <c r="K11" s="16">
        <v>3.2000000000000002E-3</v>
      </c>
      <c r="L11" s="16">
        <v>3.2000000000000002E-3</v>
      </c>
      <c r="N11" s="2" t="s">
        <v>25</v>
      </c>
      <c r="O11" s="17">
        <v>2.81E-2</v>
      </c>
      <c r="P11" s="16">
        <v>2.1000000000000001E-2</v>
      </c>
      <c r="Q11" s="16">
        <v>2.1899999999999999E-2</v>
      </c>
      <c r="R11" s="16">
        <v>0.02</v>
      </c>
      <c r="S11" s="16">
        <v>1.7299999999999999E-2</v>
      </c>
      <c r="T11" s="16">
        <v>1.7299999999999999E-2</v>
      </c>
      <c r="U11" s="16">
        <v>1.72E-2</v>
      </c>
      <c r="V11" s="16">
        <v>1.9E-2</v>
      </c>
      <c r="W11" s="16">
        <v>1.9800000000000002E-2</v>
      </c>
      <c r="X11" s="16">
        <v>1.7500000000000002E-2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8" t="s">
        <v>1</v>
      </c>
      <c r="C14" s="10" t="s">
        <v>16</v>
      </c>
      <c r="D14" s="11"/>
      <c r="E14" s="11"/>
      <c r="F14" s="11"/>
      <c r="G14" s="11"/>
      <c r="H14" s="11"/>
      <c r="I14" s="11"/>
      <c r="J14" s="11"/>
      <c r="K14" s="11"/>
      <c r="L14" s="12"/>
      <c r="N14" s="8" t="s">
        <v>1</v>
      </c>
      <c r="O14" s="10" t="s">
        <v>16</v>
      </c>
      <c r="P14" s="11"/>
      <c r="Q14" s="11"/>
      <c r="R14" s="11"/>
      <c r="S14" s="11"/>
      <c r="T14" s="11"/>
      <c r="U14" s="11"/>
      <c r="V14" s="11"/>
      <c r="W14" s="11"/>
      <c r="X14" s="12"/>
    </row>
    <row r="15" spans="1:24" x14ac:dyDescent="0.25">
      <c r="B15" s="9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9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16">
        <v>0.34260000000000002</v>
      </c>
      <c r="D16" s="16">
        <v>0.34179999999999999</v>
      </c>
      <c r="E16" s="16">
        <v>0.34150000000000003</v>
      </c>
      <c r="F16" s="16">
        <v>0.34139999999999998</v>
      </c>
      <c r="G16" s="16">
        <v>0.3453</v>
      </c>
      <c r="H16" s="16">
        <v>0.34150000000000003</v>
      </c>
      <c r="I16" s="16">
        <v>0.34139999999999998</v>
      </c>
      <c r="J16" s="16">
        <v>0.34720000000000001</v>
      </c>
      <c r="K16" s="16">
        <v>0.34320000000000001</v>
      </c>
      <c r="L16" s="16">
        <v>0.34599999999999997</v>
      </c>
      <c r="N16" s="2" t="s">
        <v>20</v>
      </c>
      <c r="O16" s="16">
        <v>9.1956000000000007</v>
      </c>
      <c r="P16" s="16">
        <v>8.8960000000000008</v>
      </c>
      <c r="Q16" s="16">
        <v>8.8794000000000004</v>
      </c>
      <c r="R16" s="16">
        <v>8.8483999999999998</v>
      </c>
      <c r="S16" s="16">
        <v>9.0548999999999999</v>
      </c>
      <c r="T16" s="16">
        <v>9.0667000000000009</v>
      </c>
      <c r="U16" s="16">
        <v>8.7662999999999993</v>
      </c>
      <c r="V16" s="16">
        <v>8.7954000000000008</v>
      </c>
      <c r="W16" s="16">
        <v>8.7210000000000001</v>
      </c>
      <c r="X16" s="16">
        <v>8.8828999999999994</v>
      </c>
    </row>
    <row r="17" spans="2:24" x14ac:dyDescent="0.25">
      <c r="B17" s="2" t="s">
        <v>21</v>
      </c>
      <c r="C17" s="16">
        <v>0.47310000000000002</v>
      </c>
      <c r="D17" s="16">
        <v>0.46899999999999997</v>
      </c>
      <c r="E17" s="16">
        <v>0.46460000000000001</v>
      </c>
      <c r="F17" s="16">
        <v>0.5</v>
      </c>
      <c r="G17" s="16">
        <v>0.46539999999999998</v>
      </c>
      <c r="H17" s="16">
        <v>0.46089999999999998</v>
      </c>
      <c r="I17" s="16">
        <v>0.4607</v>
      </c>
      <c r="J17" s="16">
        <v>0.54279999999999995</v>
      </c>
      <c r="K17" s="16">
        <v>0.4768</v>
      </c>
      <c r="L17" s="16">
        <v>0.46600000000000003</v>
      </c>
      <c r="N17" s="2" t="s">
        <v>21</v>
      </c>
      <c r="O17" s="16">
        <v>10.829000000000001</v>
      </c>
      <c r="P17" s="16">
        <v>10.7707</v>
      </c>
      <c r="Q17" s="16">
        <v>10.8287</v>
      </c>
      <c r="R17" s="16">
        <v>10.837199999999999</v>
      </c>
      <c r="S17" s="16">
        <v>10.815</v>
      </c>
      <c r="T17" s="16">
        <v>11.3873</v>
      </c>
      <c r="U17" s="16">
        <v>11.142799999999999</v>
      </c>
      <c r="V17" s="16">
        <v>11.1646</v>
      </c>
      <c r="W17" s="16">
        <v>11.3879</v>
      </c>
      <c r="X17" s="16">
        <v>10.9213</v>
      </c>
    </row>
    <row r="18" spans="2:24" x14ac:dyDescent="0.25">
      <c r="B18" s="2" t="s">
        <v>22</v>
      </c>
      <c r="C18" s="16">
        <v>0.88670000000000004</v>
      </c>
      <c r="D18" s="16">
        <v>0.87949999999999995</v>
      </c>
      <c r="E18" s="16">
        <v>0.87160000000000004</v>
      </c>
      <c r="F18" s="16">
        <v>0.8619</v>
      </c>
      <c r="G18" s="16">
        <v>0.85950000000000004</v>
      </c>
      <c r="H18" s="16">
        <v>0.86160000000000003</v>
      </c>
      <c r="I18" s="16">
        <v>0.85750000000000004</v>
      </c>
      <c r="J18" s="16">
        <v>0.85980000000000001</v>
      </c>
      <c r="K18" s="16">
        <v>0.85570000000000002</v>
      </c>
      <c r="L18" s="16">
        <v>0.85829999999999995</v>
      </c>
      <c r="N18" s="2" t="s">
        <v>22</v>
      </c>
      <c r="O18" s="16">
        <v>20.911899999999999</v>
      </c>
      <c r="P18" s="16">
        <v>21.035599999999999</v>
      </c>
      <c r="Q18" s="16">
        <v>21.108899999999998</v>
      </c>
      <c r="R18" s="16">
        <v>20.726600000000001</v>
      </c>
      <c r="S18" s="16">
        <v>20.8309</v>
      </c>
      <c r="T18" s="16">
        <v>21.097999999999999</v>
      </c>
      <c r="U18" s="16">
        <v>21.315200000000001</v>
      </c>
      <c r="V18" s="16">
        <v>21.2637</v>
      </c>
      <c r="W18" s="16">
        <v>20.544799999999999</v>
      </c>
      <c r="X18" s="16">
        <v>20.909800000000001</v>
      </c>
    </row>
    <row r="19" spans="2:24" x14ac:dyDescent="0.25">
      <c r="B19" s="2" t="s">
        <v>23</v>
      </c>
      <c r="C19" s="16">
        <v>6.6199999999999995E-2</v>
      </c>
      <c r="D19" s="16">
        <v>4.7E-2</v>
      </c>
      <c r="E19" s="16">
        <v>4.1000000000000002E-2</v>
      </c>
      <c r="F19" s="16">
        <v>4.0099999999999997E-2</v>
      </c>
      <c r="G19" s="16">
        <v>4.0099999999999997E-2</v>
      </c>
      <c r="H19" s="16">
        <v>3.9899999999999998E-2</v>
      </c>
      <c r="I19" s="16">
        <v>3.9699999999999999E-2</v>
      </c>
      <c r="J19" s="16">
        <v>3.9899999999999998E-2</v>
      </c>
      <c r="K19" s="16">
        <v>3.9800000000000002E-2</v>
      </c>
      <c r="L19" s="16">
        <v>3.9899999999999998E-2</v>
      </c>
      <c r="N19" s="2" t="s">
        <v>23</v>
      </c>
      <c r="O19" s="16">
        <v>0.39389999999999997</v>
      </c>
      <c r="P19" s="16">
        <v>0.35670000000000002</v>
      </c>
      <c r="Q19" s="16">
        <v>0.34920000000000001</v>
      </c>
      <c r="R19" s="16">
        <v>0.33929999999999999</v>
      </c>
      <c r="S19" s="16">
        <v>0.33260000000000001</v>
      </c>
      <c r="T19" s="16">
        <v>0.32940000000000003</v>
      </c>
      <c r="U19" s="16">
        <v>0.3216</v>
      </c>
      <c r="V19" s="16">
        <v>0.31890000000000002</v>
      </c>
      <c r="W19" s="16">
        <v>0.31979999999999997</v>
      </c>
      <c r="X19" s="16">
        <v>0.31080000000000002</v>
      </c>
    </row>
    <row r="20" spans="2:24" x14ac:dyDescent="0.25">
      <c r="B20" s="2" t="s">
        <v>24</v>
      </c>
      <c r="C20" s="16">
        <v>4.4699999999999997E-2</v>
      </c>
      <c r="D20" s="16">
        <v>3.4500000000000003E-2</v>
      </c>
      <c r="E20" s="16">
        <v>2.23E-2</v>
      </c>
      <c r="F20" s="16">
        <v>1.95E-2</v>
      </c>
      <c r="G20" s="16">
        <v>3.49E-2</v>
      </c>
      <c r="H20" s="16">
        <v>0.03</v>
      </c>
      <c r="I20" s="16">
        <v>2.1700000000000001E-2</v>
      </c>
      <c r="J20" s="16">
        <v>1.95E-2</v>
      </c>
      <c r="K20" s="16">
        <v>1.95E-2</v>
      </c>
      <c r="L20" s="16">
        <v>1.89E-2</v>
      </c>
      <c r="N20" s="2" t="s">
        <v>24</v>
      </c>
      <c r="O20" s="16">
        <v>0.25090000000000001</v>
      </c>
      <c r="P20" s="16">
        <v>0.2427</v>
      </c>
      <c r="Q20" s="16">
        <v>0.2344</v>
      </c>
      <c r="R20" s="16">
        <v>0.2213</v>
      </c>
      <c r="S20" s="16">
        <v>0.21249999999999999</v>
      </c>
      <c r="T20" s="16">
        <v>0.2059</v>
      </c>
      <c r="U20" s="16">
        <v>0.2021</v>
      </c>
      <c r="V20" s="16">
        <v>0.21970000000000001</v>
      </c>
      <c r="W20" s="16">
        <v>0.23880000000000001</v>
      </c>
      <c r="X20" s="16">
        <v>0.2321</v>
      </c>
    </row>
    <row r="21" spans="2:24" x14ac:dyDescent="0.25">
      <c r="B21" s="2" t="s">
        <v>25</v>
      </c>
      <c r="C21" s="17">
        <v>6.08E-2</v>
      </c>
      <c r="D21" s="16">
        <v>5.0900000000000001E-2</v>
      </c>
      <c r="E21" s="16">
        <v>4.0599999999999997E-2</v>
      </c>
      <c r="F21" s="16">
        <v>4.6399999999999997E-2</v>
      </c>
      <c r="G21" s="16">
        <v>4.24E-2</v>
      </c>
      <c r="H21" s="16">
        <v>4.1799999999999997E-2</v>
      </c>
      <c r="I21" s="16">
        <v>4.2700000000000002E-2</v>
      </c>
      <c r="J21" s="16">
        <v>3.78E-2</v>
      </c>
      <c r="K21" s="16">
        <v>3.6700000000000003E-2</v>
      </c>
      <c r="L21" s="16">
        <v>3.61E-2</v>
      </c>
      <c r="N21" s="2" t="s">
        <v>25</v>
      </c>
      <c r="O21" s="17">
        <v>0.34150000000000003</v>
      </c>
      <c r="P21" s="16">
        <v>0.32079999999999997</v>
      </c>
      <c r="Q21" s="16">
        <v>0.3145</v>
      </c>
      <c r="R21" s="16">
        <v>0.31740000000000002</v>
      </c>
      <c r="S21" s="16">
        <v>0.30299999999999999</v>
      </c>
      <c r="T21" s="16">
        <v>0.29630000000000001</v>
      </c>
      <c r="U21" s="16">
        <v>0.29330000000000001</v>
      </c>
      <c r="V21" s="16">
        <v>0.2959</v>
      </c>
      <c r="W21" s="16">
        <v>0.29520000000000002</v>
      </c>
      <c r="X21" s="16">
        <v>0.2959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8" t="s">
        <v>1</v>
      </c>
      <c r="C24" s="10" t="s">
        <v>16</v>
      </c>
      <c r="D24" s="11"/>
      <c r="E24" s="11"/>
      <c r="F24" s="11"/>
      <c r="G24" s="11"/>
      <c r="H24" s="11"/>
      <c r="I24" s="11"/>
      <c r="J24" s="11"/>
      <c r="K24" s="11"/>
      <c r="L24" s="12"/>
      <c r="N24" s="8" t="s">
        <v>1</v>
      </c>
      <c r="O24" s="10" t="s">
        <v>16</v>
      </c>
      <c r="P24" s="11"/>
      <c r="Q24" s="11"/>
      <c r="R24" s="11"/>
      <c r="S24" s="11"/>
      <c r="T24" s="11"/>
      <c r="U24" s="11"/>
      <c r="V24" s="11"/>
      <c r="W24" s="11"/>
      <c r="X24" s="12"/>
    </row>
    <row r="25" spans="2:24" x14ac:dyDescent="0.25">
      <c r="B25" s="9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9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16">
        <v>34.209400000000002</v>
      </c>
      <c r="D26" s="16">
        <v>34.849299999999999</v>
      </c>
      <c r="E26" s="16">
        <v>34.061100000000003</v>
      </c>
      <c r="F26" s="16">
        <v>34.154899999999998</v>
      </c>
      <c r="G26" s="16">
        <v>34.296300000000002</v>
      </c>
      <c r="H26" s="16">
        <v>34.161799999999999</v>
      </c>
      <c r="I26" s="16">
        <v>34.444899999999997</v>
      </c>
      <c r="J26" s="16">
        <v>34.367699999999999</v>
      </c>
      <c r="K26" s="16">
        <v>34.517400000000002</v>
      </c>
      <c r="L26" s="16">
        <v>33.847299999999997</v>
      </c>
      <c r="N26" s="2" t="s">
        <v>20</v>
      </c>
      <c r="O26" s="16">
        <v>872.62760000000003</v>
      </c>
      <c r="P26" s="16">
        <v>886.33439999999996</v>
      </c>
      <c r="Q26" s="16">
        <v>882.28300000000002</v>
      </c>
      <c r="R26" s="16">
        <v>905.01099999999997</v>
      </c>
      <c r="S26" s="16">
        <v>1020.9693</v>
      </c>
      <c r="T26" s="16">
        <v>908.33280000000002</v>
      </c>
      <c r="U26" s="16">
        <v>937.2405</v>
      </c>
      <c r="V26" s="16">
        <v>908.33429999999998</v>
      </c>
      <c r="W26" s="16">
        <v>930.68179999999995</v>
      </c>
      <c r="X26" s="16">
        <v>990.22979999999995</v>
      </c>
    </row>
    <row r="27" spans="2:24" x14ac:dyDescent="0.25">
      <c r="B27" s="2" t="s">
        <v>21</v>
      </c>
      <c r="C27" s="16">
        <v>44.353400000000001</v>
      </c>
      <c r="D27" s="16">
        <v>43.189599999999999</v>
      </c>
      <c r="E27" s="16">
        <v>43.161999999999999</v>
      </c>
      <c r="F27" s="16">
        <v>43.813099999999999</v>
      </c>
      <c r="G27" s="16">
        <v>45.871400000000001</v>
      </c>
      <c r="H27" s="16">
        <v>46.393599999999999</v>
      </c>
      <c r="I27" s="16">
        <v>49.554499999999997</v>
      </c>
      <c r="J27" s="16">
        <v>52.761400000000002</v>
      </c>
      <c r="K27" s="16">
        <v>60.802300000000002</v>
      </c>
      <c r="L27" s="16">
        <v>49.432600000000001</v>
      </c>
      <c r="N27" s="2" t="s">
        <v>21</v>
      </c>
      <c r="O27" s="16">
        <v>1470.896</v>
      </c>
      <c r="P27" s="16">
        <v>1197.1107</v>
      </c>
      <c r="Q27" s="16">
        <v>1528.1219000000001</v>
      </c>
      <c r="R27" s="16">
        <v>1614.8674000000001</v>
      </c>
      <c r="S27" s="16">
        <v>1612.5422000000001</v>
      </c>
      <c r="T27" s="16">
        <v>1599.9371000000001</v>
      </c>
      <c r="U27" s="16">
        <v>1744.8965000000001</v>
      </c>
      <c r="V27" s="16">
        <v>1563.7733000000001</v>
      </c>
      <c r="W27" s="16">
        <v>1550.4166</v>
      </c>
      <c r="X27" s="16">
        <v>1578.0419999999999</v>
      </c>
    </row>
    <row r="28" spans="2:24" x14ac:dyDescent="0.25">
      <c r="B28" s="2" t="s">
        <v>22</v>
      </c>
      <c r="C28" s="16">
        <v>90.241299999999995</v>
      </c>
      <c r="D28" s="16">
        <v>94.488799999999998</v>
      </c>
      <c r="E28" s="16">
        <v>89.021600000000007</v>
      </c>
      <c r="F28" s="16">
        <v>88.33</v>
      </c>
      <c r="G28" s="16">
        <v>91.038700000000006</v>
      </c>
      <c r="H28" s="16">
        <v>88.762600000000006</v>
      </c>
      <c r="I28" s="16">
        <v>87.660899999999998</v>
      </c>
      <c r="J28" s="16">
        <v>89.802400000000006</v>
      </c>
      <c r="K28" s="16">
        <v>86.91</v>
      </c>
      <c r="L28" s="16">
        <v>84.600200000000001</v>
      </c>
      <c r="N28" s="2" t="s">
        <v>22</v>
      </c>
      <c r="O28" s="16">
        <v>3065.0989</v>
      </c>
      <c r="P28" s="16">
        <v>3034.4448000000002</v>
      </c>
      <c r="Q28" s="16">
        <v>3036.0689000000002</v>
      </c>
      <c r="R28" s="16">
        <v>3224.6957000000002</v>
      </c>
      <c r="S28" s="16">
        <v>3093.7710000000002</v>
      </c>
      <c r="T28" s="16">
        <v>3058.2451999999998</v>
      </c>
      <c r="U28" s="16">
        <v>3089.3368999999998</v>
      </c>
      <c r="V28" s="16">
        <v>3082.3022999999998</v>
      </c>
      <c r="W28" s="16">
        <v>3145.2235000000001</v>
      </c>
      <c r="X28" s="16">
        <v>3074.3443000000002</v>
      </c>
    </row>
    <row r="29" spans="2:24" x14ac:dyDescent="0.25">
      <c r="B29" s="2" t="s">
        <v>23</v>
      </c>
      <c r="C29" s="16">
        <v>0.89849999999999997</v>
      </c>
      <c r="D29" s="16">
        <v>1.1771</v>
      </c>
      <c r="E29" s="16">
        <v>1.2047000000000001</v>
      </c>
      <c r="F29" s="16">
        <v>0.90910000000000002</v>
      </c>
      <c r="G29" s="16">
        <v>0.77880000000000005</v>
      </c>
      <c r="H29" s="16">
        <v>0.77939999999999998</v>
      </c>
      <c r="I29" s="16">
        <v>0.7722</v>
      </c>
      <c r="J29" s="16">
        <v>0.76759999999999995</v>
      </c>
      <c r="K29" s="16">
        <v>0.76480000000000004</v>
      </c>
      <c r="L29" s="16">
        <v>0.76290000000000002</v>
      </c>
      <c r="N29" s="2" t="s">
        <v>23</v>
      </c>
      <c r="O29" s="16">
        <v>6.7157</v>
      </c>
      <c r="P29" s="16">
        <v>7.2746000000000004</v>
      </c>
      <c r="Q29" s="16">
        <v>6.6779000000000002</v>
      </c>
      <c r="R29" s="16">
        <v>6.7633000000000001</v>
      </c>
      <c r="S29" s="16">
        <v>6.6882999999999999</v>
      </c>
      <c r="T29" s="16">
        <v>6.6247999999999996</v>
      </c>
      <c r="U29" s="16">
        <v>6.3198999999999996</v>
      </c>
      <c r="V29" s="16">
        <v>6.6131000000000002</v>
      </c>
      <c r="W29" s="16">
        <v>6.6803999999999997</v>
      </c>
      <c r="X29" s="16">
        <v>6.7270000000000003</v>
      </c>
    </row>
    <row r="30" spans="2:24" x14ac:dyDescent="0.25">
      <c r="B30" s="2" t="s">
        <v>24</v>
      </c>
      <c r="C30" s="16">
        <v>0.52849999999999997</v>
      </c>
      <c r="D30" s="16">
        <v>0.52710000000000001</v>
      </c>
      <c r="E30" s="16">
        <v>0.51849999999999996</v>
      </c>
      <c r="F30" s="16">
        <v>0.51900000000000002</v>
      </c>
      <c r="G30" s="16">
        <v>0.51429999999999998</v>
      </c>
      <c r="H30" s="16">
        <v>0.51739999999999997</v>
      </c>
      <c r="I30" s="16">
        <v>0.51119999999999999</v>
      </c>
      <c r="J30" s="16">
        <v>0.51259999999999994</v>
      </c>
      <c r="K30" s="16">
        <v>0.50800000000000001</v>
      </c>
      <c r="L30" s="16">
        <v>0.51129999999999998</v>
      </c>
      <c r="N30" s="2" t="s">
        <v>24</v>
      </c>
      <c r="O30" s="16">
        <v>4.6497999999999999</v>
      </c>
      <c r="P30" s="16">
        <v>4.5945</v>
      </c>
      <c r="Q30" s="16">
        <v>4.5805999999999996</v>
      </c>
      <c r="R30" s="16">
        <v>4.5838999999999999</v>
      </c>
      <c r="S30" s="16">
        <v>4.7912999999999997</v>
      </c>
      <c r="T30" s="16">
        <v>4.5858999999999996</v>
      </c>
      <c r="U30" s="16">
        <v>4.5271999999999997</v>
      </c>
      <c r="V30" s="16">
        <v>4.5297000000000001</v>
      </c>
      <c r="W30" s="16">
        <v>4.6829999999999998</v>
      </c>
      <c r="X30" s="16">
        <v>4.5388999999999999</v>
      </c>
    </row>
    <row r="31" spans="2:24" x14ac:dyDescent="0.25">
      <c r="B31" s="2" t="s">
        <v>25</v>
      </c>
      <c r="C31" s="17">
        <v>0.69540000000000002</v>
      </c>
      <c r="D31" s="16">
        <v>0.67749999999999999</v>
      </c>
      <c r="E31" s="16">
        <v>0.68089999999999995</v>
      </c>
      <c r="F31" s="16">
        <v>0.71740000000000004</v>
      </c>
      <c r="G31" s="16">
        <v>0.67849999999999999</v>
      </c>
      <c r="H31" s="16">
        <v>0.67030000000000001</v>
      </c>
      <c r="I31" s="16">
        <v>0.66859999999999997</v>
      </c>
      <c r="J31" s="16">
        <v>0.67330000000000001</v>
      </c>
      <c r="K31" s="16">
        <v>0.66739999999999999</v>
      </c>
      <c r="L31" s="16">
        <v>0.66839999999999999</v>
      </c>
      <c r="N31" s="2" t="s">
        <v>25</v>
      </c>
      <c r="O31" s="17">
        <v>5.6353999999999997</v>
      </c>
      <c r="P31" s="16">
        <v>5.3098000000000001</v>
      </c>
      <c r="Q31" s="16">
        <v>5.6139000000000001</v>
      </c>
      <c r="R31" s="16">
        <v>5.6294000000000004</v>
      </c>
      <c r="S31" s="16">
        <v>5.6874000000000002</v>
      </c>
      <c r="T31" s="16">
        <v>5.6228999999999996</v>
      </c>
      <c r="U31" s="16">
        <v>6.0076999999999998</v>
      </c>
      <c r="V31" s="16">
        <v>7.2907999999999999</v>
      </c>
      <c r="W31" s="16">
        <v>5.7356999999999996</v>
      </c>
      <c r="X31" s="16">
        <v>5.8609</v>
      </c>
    </row>
    <row r="34" spans="2:8" x14ac:dyDescent="0.25">
      <c r="B34" s="8" t="s">
        <v>1</v>
      </c>
      <c r="C34" s="15" t="s">
        <v>26</v>
      </c>
      <c r="D34" s="11"/>
      <c r="E34" s="11"/>
      <c r="F34" s="11"/>
      <c r="G34" s="11"/>
      <c r="H34" s="12"/>
    </row>
    <row r="35" spans="2:8" x14ac:dyDescent="0.25">
      <c r="B35" s="9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8" x14ac:dyDescent="0.25">
      <c r="B36" s="2" t="s">
        <v>20</v>
      </c>
      <c r="C36" s="16">
        <f t="shared" ref="C36:C41" si="0">IF(COUNTBLANK(C6:L6)&gt;0,"undone",AVERAGE(C6:L6))</f>
        <v>3.4000000000000002E-3</v>
      </c>
      <c r="D36" s="16">
        <f t="shared" ref="D36:D41" si="1">IF(COUNTBLANK(O6:X6)&gt;0,"undone",AVERAGE(O6:X6))</f>
        <v>9.6729999999999997E-2</v>
      </c>
      <c r="E36" s="16">
        <f t="shared" ref="E36:E41" si="2">IF(COUNTBLANK(C16:L16)&gt;0,"undone",AVERAGE(C16:L16))</f>
        <v>0.34319</v>
      </c>
      <c r="F36" s="16">
        <f t="shared" ref="F36:F41" si="3">IF(COUNTBLANK(O16:X16)&gt;0,"undone",AVERAGE(O16:X16))</f>
        <v>8.9106600000000018</v>
      </c>
      <c r="G36" s="16">
        <f t="shared" ref="G36:G41" si="4">IF(COUNTBLANK(C26:L26)&gt;0,"undone",AVERAGE(C26:L26))</f>
        <v>34.29101</v>
      </c>
      <c r="H36" s="16">
        <f t="shared" ref="H36:H41" si="5">IF(COUNTBLANK(O26:X26)&gt;0,"undone",AVERAGE(O26:X26))</f>
        <v>924.20444999999995</v>
      </c>
    </row>
    <row r="37" spans="2:8" x14ac:dyDescent="0.25">
      <c r="B37" s="2" t="s">
        <v>21</v>
      </c>
      <c r="C37" s="16">
        <f t="shared" si="0"/>
        <v>5.2100000000000002E-3</v>
      </c>
      <c r="D37" s="16">
        <f t="shared" si="1"/>
        <v>0.11685999999999999</v>
      </c>
      <c r="E37" s="16">
        <f t="shared" si="2"/>
        <v>0.47793000000000002</v>
      </c>
      <c r="F37" s="16">
        <f t="shared" si="3"/>
        <v>11.00845</v>
      </c>
      <c r="G37" s="16">
        <f t="shared" si="4"/>
        <v>47.933389999999996</v>
      </c>
      <c r="H37" s="16">
        <f t="shared" si="5"/>
        <v>1546.0603700000001</v>
      </c>
    </row>
    <row r="38" spans="2:8" x14ac:dyDescent="0.25">
      <c r="B38" s="2" t="s">
        <v>22</v>
      </c>
      <c r="C38" s="16">
        <f t="shared" si="0"/>
        <v>8.9900000000000015E-3</v>
      </c>
      <c r="D38" s="16">
        <f t="shared" si="1"/>
        <v>0.22323999999999997</v>
      </c>
      <c r="E38" s="16">
        <f t="shared" si="2"/>
        <v>0.86520999999999992</v>
      </c>
      <c r="F38" s="16">
        <f t="shared" si="3"/>
        <v>20.974539999999998</v>
      </c>
      <c r="G38" s="16">
        <f t="shared" si="4"/>
        <v>89.085650000000001</v>
      </c>
      <c r="H38" s="16">
        <f t="shared" si="5"/>
        <v>3090.3531499999999</v>
      </c>
    </row>
    <row r="39" spans="2:8" x14ac:dyDescent="0.25">
      <c r="B39" s="2" t="s">
        <v>23</v>
      </c>
      <c r="C39" s="16">
        <f t="shared" si="0"/>
        <v>3.2099999999999997E-3</v>
      </c>
      <c r="D39" s="16">
        <f t="shared" si="1"/>
        <v>1.9649999999999997E-2</v>
      </c>
      <c r="E39" s="16">
        <f t="shared" si="2"/>
        <v>4.3359999999999996E-2</v>
      </c>
      <c r="F39" s="16">
        <f t="shared" si="3"/>
        <v>0.33721999999999996</v>
      </c>
      <c r="G39" s="16">
        <f t="shared" si="4"/>
        <v>0.88151000000000013</v>
      </c>
      <c r="H39" s="16">
        <f t="shared" si="5"/>
        <v>6.7085000000000008</v>
      </c>
    </row>
    <row r="40" spans="2:8" x14ac:dyDescent="0.25">
      <c r="B40" s="2" t="s">
        <v>24</v>
      </c>
      <c r="C40" s="16">
        <f t="shared" si="0"/>
        <v>1.7599999999999998E-3</v>
      </c>
      <c r="D40" s="16">
        <f t="shared" si="1"/>
        <v>9.9300000000000013E-3</v>
      </c>
      <c r="E40" s="16">
        <f t="shared" si="2"/>
        <v>2.6549999999999997E-2</v>
      </c>
      <c r="F40" s="16">
        <f t="shared" si="3"/>
        <v>0.22603999999999996</v>
      </c>
      <c r="G40" s="16">
        <f t="shared" si="4"/>
        <v>0.51679000000000008</v>
      </c>
      <c r="H40" s="16">
        <f t="shared" si="5"/>
        <v>4.6064799999999995</v>
      </c>
    </row>
    <row r="41" spans="2:8" x14ac:dyDescent="0.25">
      <c r="B41" s="2" t="s">
        <v>25</v>
      </c>
      <c r="C41" s="16">
        <f t="shared" si="0"/>
        <v>3.7600000000000003E-3</v>
      </c>
      <c r="D41" s="16">
        <f t="shared" si="1"/>
        <v>1.9910000000000001E-2</v>
      </c>
      <c r="E41" s="16">
        <f t="shared" si="2"/>
        <v>4.3620000000000006E-2</v>
      </c>
      <c r="F41" s="16">
        <f t="shared" si="3"/>
        <v>0.30737999999999999</v>
      </c>
      <c r="G41" s="16">
        <f t="shared" si="4"/>
        <v>0.67976999999999999</v>
      </c>
      <c r="H41" s="16">
        <f t="shared" si="5"/>
        <v>5.8393899999999999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zoomScale="104" workbookViewId="0">
      <selection activeCell="K21" sqref="K21"/>
    </sheetView>
  </sheetViews>
  <sheetFormatPr defaultRowHeight="13.8" x14ac:dyDescent="0.25"/>
  <sheetData>
    <row r="1" spans="1:2" x14ac:dyDescent="0.25">
      <c r="A1" s="7" t="s">
        <v>17</v>
      </c>
      <c r="B1" s="7"/>
    </row>
    <row r="17" spans="14:14" x14ac:dyDescent="0.25">
      <c r="N17" t="s">
        <v>15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1"/>
  <sheetViews>
    <sheetView zoomScale="70" zoomScaleNormal="70" workbookViewId="0">
      <selection activeCell="K38" sqref="K38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3" t="s">
        <v>14</v>
      </c>
      <c r="B1" s="14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8" t="s">
        <v>1</v>
      </c>
      <c r="C4" s="10" t="s">
        <v>16</v>
      </c>
      <c r="D4" s="11"/>
      <c r="E4" s="11"/>
      <c r="F4" s="11"/>
      <c r="G4" s="11"/>
      <c r="H4" s="11"/>
      <c r="I4" s="11"/>
      <c r="J4" s="11"/>
      <c r="K4" s="11"/>
      <c r="L4" s="12"/>
      <c r="N4" s="8" t="s">
        <v>1</v>
      </c>
      <c r="O4" s="10" t="s">
        <v>16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9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9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16">
        <v>2.9999999999999997E-4</v>
      </c>
      <c r="D6" s="16">
        <v>2.9999999999999997E-4</v>
      </c>
      <c r="E6" s="16">
        <v>2.9999999999999997E-4</v>
      </c>
      <c r="F6" s="16">
        <v>2.0000000000000001E-4</v>
      </c>
      <c r="G6" s="16">
        <v>2.9999999999999997E-4</v>
      </c>
      <c r="H6" s="16">
        <v>2.9999999999999997E-4</v>
      </c>
      <c r="I6" s="16">
        <v>2.9999999999999997E-4</v>
      </c>
      <c r="J6" s="16">
        <v>2.0000000000000001E-4</v>
      </c>
      <c r="K6" s="16">
        <v>2.9999999999999997E-4</v>
      </c>
      <c r="L6" s="16">
        <v>2.9999999999999997E-4</v>
      </c>
      <c r="N6" s="2" t="s">
        <v>20</v>
      </c>
      <c r="O6" s="16">
        <v>1.1999999999999999E-3</v>
      </c>
      <c r="P6" s="16">
        <v>1.2999999999999999E-3</v>
      </c>
      <c r="Q6" s="16">
        <v>1.1999999999999999E-3</v>
      </c>
      <c r="R6" s="16">
        <v>1.1999999999999999E-3</v>
      </c>
      <c r="S6" s="16">
        <v>1.2999999999999999E-3</v>
      </c>
      <c r="T6" s="16">
        <v>1.2999999999999999E-3</v>
      </c>
      <c r="U6" s="16">
        <v>1.1999999999999999E-3</v>
      </c>
      <c r="V6" s="16">
        <v>1.1999999999999999E-3</v>
      </c>
      <c r="W6" s="16">
        <v>1.1999999999999999E-3</v>
      </c>
      <c r="X6" s="16">
        <v>1.2999999999999999E-3</v>
      </c>
    </row>
    <row r="7" spans="1:24" x14ac:dyDescent="0.25">
      <c r="B7" s="2" t="s">
        <v>21</v>
      </c>
      <c r="C7" s="16">
        <v>6.7999999999999996E-3</v>
      </c>
      <c r="D7" s="16">
        <v>6.6E-3</v>
      </c>
      <c r="E7" s="16">
        <v>6.4000000000000003E-3</v>
      </c>
      <c r="F7" s="16">
        <v>9.2999999999999992E-3</v>
      </c>
      <c r="G7" s="16">
        <v>8.8999999999999999E-3</v>
      </c>
      <c r="H7" s="16">
        <v>8.5000000000000006E-3</v>
      </c>
      <c r="I7" s="16">
        <v>8.3999999999999995E-3</v>
      </c>
      <c r="J7" s="16">
        <v>6.3E-3</v>
      </c>
      <c r="K7" s="16">
        <v>6.3E-3</v>
      </c>
      <c r="L7" s="16">
        <v>6.3E-3</v>
      </c>
      <c r="N7" s="2" t="s">
        <v>21</v>
      </c>
      <c r="O7" s="16">
        <v>0.15329999999999999</v>
      </c>
      <c r="P7" s="16">
        <v>0.15329999999999999</v>
      </c>
      <c r="Q7" s="16">
        <v>0.1532</v>
      </c>
      <c r="R7" s="16">
        <v>0.1532</v>
      </c>
      <c r="S7" s="16">
        <v>0.1532</v>
      </c>
      <c r="T7" s="16">
        <v>0.1532</v>
      </c>
      <c r="U7" s="16">
        <v>0.1532</v>
      </c>
      <c r="V7" s="16">
        <v>0.1583</v>
      </c>
      <c r="W7" s="16">
        <v>0.1532</v>
      </c>
      <c r="X7" s="16">
        <v>0.1532</v>
      </c>
    </row>
    <row r="8" spans="1:24" x14ac:dyDescent="0.25">
      <c r="B8" s="2" t="s">
        <v>22</v>
      </c>
      <c r="C8" s="16">
        <v>7.9000000000000008E-3</v>
      </c>
      <c r="D8" s="16">
        <v>7.7999999999999996E-3</v>
      </c>
      <c r="E8" s="16">
        <v>7.4999999999999997E-3</v>
      </c>
      <c r="F8" s="16">
        <v>7.4999999999999997E-3</v>
      </c>
      <c r="G8" s="16">
        <v>7.4999999999999997E-3</v>
      </c>
      <c r="H8" s="16">
        <v>7.4999999999999997E-3</v>
      </c>
      <c r="I8" s="16">
        <v>7.4999999999999997E-3</v>
      </c>
      <c r="J8" s="16">
        <v>7.4999999999999997E-3</v>
      </c>
      <c r="K8" s="16">
        <v>7.4999999999999997E-3</v>
      </c>
      <c r="L8" s="16">
        <v>7.4999999999999997E-3</v>
      </c>
      <c r="N8" s="2" t="s">
        <v>22</v>
      </c>
      <c r="O8" s="16">
        <v>0.1842</v>
      </c>
      <c r="P8" s="16">
        <v>0.1842</v>
      </c>
      <c r="Q8" s="16">
        <v>0.18410000000000001</v>
      </c>
      <c r="R8" s="16">
        <v>0.184</v>
      </c>
      <c r="S8" s="16">
        <v>0.18410000000000001</v>
      </c>
      <c r="T8" s="16">
        <v>0.18410000000000001</v>
      </c>
      <c r="U8" s="16">
        <v>0.18410000000000001</v>
      </c>
      <c r="V8" s="16">
        <v>0.18410000000000001</v>
      </c>
      <c r="W8" s="16">
        <v>0.1842</v>
      </c>
      <c r="X8" s="16">
        <v>0.184</v>
      </c>
    </row>
    <row r="9" spans="1:24" x14ac:dyDescent="0.25">
      <c r="B9" s="2" t="s">
        <v>23</v>
      </c>
      <c r="C9" s="16">
        <v>5.0000000000000001E-3</v>
      </c>
      <c r="D9" s="16">
        <v>4.0000000000000001E-3</v>
      </c>
      <c r="E9" s="16">
        <v>3.8999999999999998E-3</v>
      </c>
      <c r="F9" s="16">
        <v>4.0000000000000001E-3</v>
      </c>
      <c r="G9" s="16">
        <v>3.8E-3</v>
      </c>
      <c r="H9" s="16">
        <v>3.8999999999999998E-3</v>
      </c>
      <c r="I9" s="16">
        <v>4.1000000000000003E-3</v>
      </c>
      <c r="J9" s="16">
        <v>3.8999999999999998E-3</v>
      </c>
      <c r="K9" s="16">
        <v>3.8E-3</v>
      </c>
      <c r="L9" s="16">
        <v>3.8999999999999998E-3</v>
      </c>
      <c r="N9" s="2" t="s">
        <v>23</v>
      </c>
      <c r="O9" s="16">
        <v>2.4299999999999999E-2</v>
      </c>
      <c r="P9" s="16">
        <v>2.3900000000000001E-2</v>
      </c>
      <c r="Q9" s="16">
        <v>2.3900000000000001E-2</v>
      </c>
      <c r="R9" s="16">
        <v>2.3800000000000002E-2</v>
      </c>
      <c r="S9" s="16">
        <v>2.3599999999999999E-2</v>
      </c>
      <c r="T9" s="16">
        <v>2.3800000000000002E-2</v>
      </c>
      <c r="U9" s="16">
        <v>2.3900000000000001E-2</v>
      </c>
      <c r="V9" s="16">
        <v>2.3900000000000001E-2</v>
      </c>
      <c r="W9" s="16">
        <v>2.3900000000000001E-2</v>
      </c>
      <c r="X9" s="16">
        <v>2.3800000000000002E-2</v>
      </c>
    </row>
    <row r="10" spans="1:24" x14ac:dyDescent="0.25">
      <c r="B10" s="2" t="s">
        <v>24</v>
      </c>
      <c r="C10" s="16">
        <v>7.0000000000000001E-3</v>
      </c>
      <c r="D10" s="16">
        <v>6.7000000000000002E-3</v>
      </c>
      <c r="E10" s="16">
        <v>6.1999999999999998E-3</v>
      </c>
      <c r="F10" s="16">
        <v>6.1999999999999998E-3</v>
      </c>
      <c r="G10" s="16">
        <v>6.1999999999999998E-3</v>
      </c>
      <c r="H10" s="16">
        <v>6.1000000000000004E-3</v>
      </c>
      <c r="I10" s="16">
        <v>6.1000000000000004E-3</v>
      </c>
      <c r="J10" s="16">
        <v>6.1999999999999998E-3</v>
      </c>
      <c r="K10" s="16">
        <v>6.1000000000000004E-3</v>
      </c>
      <c r="L10" s="16">
        <v>6.1000000000000004E-3</v>
      </c>
      <c r="N10" s="2" t="s">
        <v>24</v>
      </c>
      <c r="O10" s="16">
        <v>0.14829999999999999</v>
      </c>
      <c r="P10" s="16">
        <v>0.156</v>
      </c>
      <c r="Q10" s="16">
        <v>0.15010000000000001</v>
      </c>
      <c r="R10" s="16">
        <v>0.14269999999999999</v>
      </c>
      <c r="S10" s="16">
        <v>0.14280000000000001</v>
      </c>
      <c r="T10" s="16">
        <v>0.1429</v>
      </c>
      <c r="U10" s="16">
        <v>0.1431</v>
      </c>
      <c r="V10" s="16">
        <v>0.14269999999999999</v>
      </c>
      <c r="W10" s="16">
        <v>0.14269999999999999</v>
      </c>
      <c r="X10" s="16">
        <v>0.14269999999999999</v>
      </c>
    </row>
    <row r="11" spans="1:24" x14ac:dyDescent="0.25">
      <c r="B11" s="2" t="s">
        <v>25</v>
      </c>
      <c r="C11" s="17">
        <v>4.5999999999999999E-3</v>
      </c>
      <c r="D11" s="16">
        <v>3.7000000000000002E-3</v>
      </c>
      <c r="E11" s="16">
        <v>3.8E-3</v>
      </c>
      <c r="F11" s="16">
        <v>3.7000000000000002E-3</v>
      </c>
      <c r="G11" s="16">
        <v>3.5999999999999999E-3</v>
      </c>
      <c r="H11" s="16">
        <v>3.7000000000000002E-3</v>
      </c>
      <c r="I11" s="16">
        <v>3.5999999999999999E-3</v>
      </c>
      <c r="J11" s="16">
        <v>3.5999999999999999E-3</v>
      </c>
      <c r="K11" s="16">
        <v>3.7000000000000002E-3</v>
      </c>
      <c r="L11" s="16">
        <v>3.5000000000000001E-3</v>
      </c>
      <c r="N11" s="2" t="s">
        <v>25</v>
      </c>
      <c r="O11" s="17">
        <v>2.2200000000000001E-2</v>
      </c>
      <c r="P11" s="16">
        <v>2.0299999999999999E-2</v>
      </c>
      <c r="Q11" s="16">
        <v>2.9600000000000001E-2</v>
      </c>
      <c r="R11" s="16">
        <v>2.1100000000000001E-2</v>
      </c>
      <c r="S11" s="16">
        <v>1.9699999999999999E-2</v>
      </c>
      <c r="T11" s="16">
        <v>1.9400000000000001E-2</v>
      </c>
      <c r="U11" s="16">
        <v>1.9300000000000001E-2</v>
      </c>
      <c r="V11" s="16">
        <v>1.95E-2</v>
      </c>
      <c r="W11" s="16">
        <v>1.9400000000000001E-2</v>
      </c>
      <c r="X11" s="16">
        <v>1.9400000000000001E-2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8" t="s">
        <v>1</v>
      </c>
      <c r="C14" s="10" t="s">
        <v>16</v>
      </c>
      <c r="D14" s="11"/>
      <c r="E14" s="11"/>
      <c r="F14" s="11"/>
      <c r="G14" s="11"/>
      <c r="H14" s="11"/>
      <c r="I14" s="11"/>
      <c r="J14" s="11"/>
      <c r="K14" s="11"/>
      <c r="L14" s="12"/>
      <c r="N14" s="8" t="s">
        <v>1</v>
      </c>
      <c r="O14" s="10" t="s">
        <v>16</v>
      </c>
      <c r="P14" s="11"/>
      <c r="Q14" s="11"/>
      <c r="R14" s="11"/>
      <c r="S14" s="11"/>
      <c r="T14" s="11"/>
      <c r="U14" s="11"/>
      <c r="V14" s="11"/>
      <c r="W14" s="11"/>
      <c r="X14" s="12"/>
    </row>
    <row r="15" spans="1:24" x14ac:dyDescent="0.25">
      <c r="B15" s="9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9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16">
        <v>2.5000000000000001E-3</v>
      </c>
      <c r="D16" s="16">
        <v>2.3999999999999998E-3</v>
      </c>
      <c r="E16" s="16">
        <v>2.3999999999999998E-3</v>
      </c>
      <c r="F16" s="16">
        <v>2.5000000000000001E-3</v>
      </c>
      <c r="G16" s="16">
        <v>2.5000000000000001E-3</v>
      </c>
      <c r="H16" s="16">
        <v>2.5000000000000001E-3</v>
      </c>
      <c r="I16" s="16">
        <v>2.5000000000000001E-3</v>
      </c>
      <c r="J16" s="16">
        <v>2.5000000000000001E-3</v>
      </c>
      <c r="K16" s="16">
        <v>2.5000000000000001E-3</v>
      </c>
      <c r="L16" s="16">
        <v>2.5000000000000001E-3</v>
      </c>
      <c r="N16" s="2" t="s">
        <v>20</v>
      </c>
      <c r="O16" s="16">
        <v>1.23E-2</v>
      </c>
      <c r="P16" s="16">
        <v>1.23E-2</v>
      </c>
      <c r="Q16" s="16">
        <v>1.2200000000000001E-2</v>
      </c>
      <c r="R16" s="16">
        <v>1.23E-2</v>
      </c>
      <c r="S16" s="16">
        <v>1.23E-2</v>
      </c>
      <c r="T16" s="16">
        <v>1.2200000000000001E-2</v>
      </c>
      <c r="U16" s="16">
        <v>1.23E-2</v>
      </c>
      <c r="V16" s="16">
        <v>1.23E-2</v>
      </c>
      <c r="W16" s="16">
        <v>1.2200000000000001E-2</v>
      </c>
      <c r="X16" s="16">
        <v>1.2200000000000001E-2</v>
      </c>
    </row>
    <row r="17" spans="2:24" x14ac:dyDescent="0.25">
      <c r="B17" s="2" t="s">
        <v>21</v>
      </c>
      <c r="C17" s="16">
        <v>0.60799999999999998</v>
      </c>
      <c r="D17" s="16">
        <v>0.6079</v>
      </c>
      <c r="E17" s="16">
        <v>0.61329999999999996</v>
      </c>
      <c r="F17" s="16">
        <v>0.60880000000000001</v>
      </c>
      <c r="G17" s="16">
        <v>0.60899999999999999</v>
      </c>
      <c r="H17" s="16">
        <v>0.60899999999999999</v>
      </c>
      <c r="I17" s="16">
        <v>0.69530000000000003</v>
      </c>
      <c r="J17" s="16">
        <v>0.63239999999999996</v>
      </c>
      <c r="K17" s="16">
        <v>0.72419999999999995</v>
      </c>
      <c r="L17" s="16">
        <v>0.69769999999999999</v>
      </c>
      <c r="N17" s="2" t="s">
        <v>21</v>
      </c>
      <c r="O17" s="16">
        <v>15.3589</v>
      </c>
      <c r="P17" s="16">
        <v>15.2684</v>
      </c>
      <c r="Q17" s="16">
        <v>15.609299999999999</v>
      </c>
      <c r="R17" s="16">
        <v>15.8925</v>
      </c>
      <c r="S17" s="16">
        <v>15.537599999999999</v>
      </c>
      <c r="T17" s="16">
        <v>15.5802</v>
      </c>
      <c r="U17" s="16">
        <v>15.3429</v>
      </c>
      <c r="V17" s="16">
        <v>15.2437</v>
      </c>
      <c r="W17" s="16">
        <v>15.187900000000001</v>
      </c>
      <c r="X17" s="16">
        <v>15.29</v>
      </c>
    </row>
    <row r="18" spans="2:24" x14ac:dyDescent="0.25">
      <c r="B18" s="2" t="s">
        <v>22</v>
      </c>
      <c r="C18" s="16">
        <v>0.75929999999999997</v>
      </c>
      <c r="D18" s="16">
        <v>0.74329999999999996</v>
      </c>
      <c r="E18" s="16">
        <v>0.78059999999999996</v>
      </c>
      <c r="F18" s="16">
        <v>0.77790000000000004</v>
      </c>
      <c r="G18" s="16">
        <v>0.79720000000000002</v>
      </c>
      <c r="H18" s="16">
        <v>0.74309999999999998</v>
      </c>
      <c r="I18" s="16">
        <v>0.73670000000000002</v>
      </c>
      <c r="J18" s="16">
        <v>0.73160000000000003</v>
      </c>
      <c r="K18" s="16">
        <v>0.7319</v>
      </c>
      <c r="L18" s="16">
        <v>0.7369</v>
      </c>
      <c r="N18" s="2" t="s">
        <v>22</v>
      </c>
      <c r="O18" s="16">
        <v>19.000800000000002</v>
      </c>
      <c r="P18" s="16">
        <v>18.380600000000001</v>
      </c>
      <c r="Q18" s="16">
        <v>18.504999999999999</v>
      </c>
      <c r="R18" s="16">
        <v>18.361999999999998</v>
      </c>
      <c r="S18" s="16">
        <v>18.454899999999999</v>
      </c>
      <c r="T18" s="16">
        <v>18.518999999999998</v>
      </c>
      <c r="U18" s="16">
        <v>18.597799999999999</v>
      </c>
      <c r="V18" s="16">
        <v>18.1066</v>
      </c>
      <c r="W18" s="16">
        <v>18.316299999999998</v>
      </c>
      <c r="X18" s="16">
        <v>18.439399999999999</v>
      </c>
    </row>
    <row r="19" spans="2:24" x14ac:dyDescent="0.25">
      <c r="B19" s="2" t="s">
        <v>23</v>
      </c>
      <c r="C19" s="16">
        <v>5.2499999999999998E-2</v>
      </c>
      <c r="D19" s="16">
        <v>5.16E-2</v>
      </c>
      <c r="E19" s="16">
        <v>5.1299999999999998E-2</v>
      </c>
      <c r="F19" s="16">
        <v>5.1400000000000001E-2</v>
      </c>
      <c r="G19" s="16">
        <v>5.16E-2</v>
      </c>
      <c r="H19" s="16">
        <v>5.1499999999999997E-2</v>
      </c>
      <c r="I19" s="16">
        <v>5.1700000000000003E-2</v>
      </c>
      <c r="J19" s="16">
        <v>5.1499999999999997E-2</v>
      </c>
      <c r="K19" s="16">
        <v>5.1400000000000001E-2</v>
      </c>
      <c r="L19" s="16">
        <v>5.16E-2</v>
      </c>
      <c r="N19" s="2" t="s">
        <v>23</v>
      </c>
      <c r="O19" s="16">
        <v>0.30370000000000003</v>
      </c>
      <c r="P19" s="16">
        <v>0.30130000000000001</v>
      </c>
      <c r="Q19" s="16">
        <v>0.3095</v>
      </c>
      <c r="R19" s="16">
        <v>0.3019</v>
      </c>
      <c r="S19" s="16">
        <v>0.30220000000000002</v>
      </c>
      <c r="T19" s="16">
        <v>0.30259999999999998</v>
      </c>
      <c r="U19" s="16">
        <v>0.30170000000000002</v>
      </c>
      <c r="V19" s="16">
        <v>0.3014</v>
      </c>
      <c r="W19" s="16">
        <v>0.30599999999999999</v>
      </c>
      <c r="X19" s="16">
        <v>0.30320000000000003</v>
      </c>
    </row>
    <row r="20" spans="2:24" x14ac:dyDescent="0.25">
      <c r="B20" s="2" t="s">
        <v>24</v>
      </c>
      <c r="C20" s="16">
        <v>0.56340000000000001</v>
      </c>
      <c r="D20" s="16">
        <v>0.49430000000000002</v>
      </c>
      <c r="E20" s="16">
        <v>0.57110000000000005</v>
      </c>
      <c r="F20" s="16">
        <v>0.57809999999999995</v>
      </c>
      <c r="G20" s="16">
        <v>0.5585</v>
      </c>
      <c r="H20" s="16">
        <v>0.56359999999999999</v>
      </c>
      <c r="I20" s="16">
        <v>0.5585</v>
      </c>
      <c r="J20" s="16">
        <v>0.55869999999999997</v>
      </c>
      <c r="K20" s="16">
        <v>0.59570000000000001</v>
      </c>
      <c r="L20" s="16">
        <v>0.55859999999999999</v>
      </c>
      <c r="N20" s="2" t="s">
        <v>24</v>
      </c>
      <c r="O20" s="16">
        <v>13.824</v>
      </c>
      <c r="P20" s="16">
        <v>13.820499999999999</v>
      </c>
      <c r="Q20" s="16">
        <v>13.5</v>
      </c>
      <c r="R20" s="16">
        <v>13.808400000000001</v>
      </c>
      <c r="S20" s="16">
        <v>13.8751</v>
      </c>
      <c r="T20" s="16">
        <v>13.818899999999999</v>
      </c>
      <c r="U20" s="16">
        <v>13.9016</v>
      </c>
      <c r="V20" s="16">
        <v>13.2591</v>
      </c>
      <c r="W20" s="16">
        <v>13.9946</v>
      </c>
      <c r="X20" s="16">
        <v>13.8437</v>
      </c>
    </row>
    <row r="21" spans="2:24" x14ac:dyDescent="0.25">
      <c r="B21" s="2" t="s">
        <v>25</v>
      </c>
      <c r="C21" s="17">
        <v>4.7600000000000003E-2</v>
      </c>
      <c r="D21" s="16">
        <v>4.5199999999999997E-2</v>
      </c>
      <c r="E21" s="16">
        <v>0.31380000000000002</v>
      </c>
      <c r="F21" s="16">
        <v>4.3499999999999997E-2</v>
      </c>
      <c r="G21" s="16">
        <v>4.3999999999999997E-2</v>
      </c>
      <c r="H21" s="16">
        <v>4.3200000000000002E-2</v>
      </c>
      <c r="I21" s="16">
        <v>4.3900000000000002E-2</v>
      </c>
      <c r="J21" s="16">
        <v>4.3799999999999999E-2</v>
      </c>
      <c r="K21" s="16">
        <v>4.2900000000000001E-2</v>
      </c>
      <c r="L21" s="16">
        <v>4.2099999999999999E-2</v>
      </c>
      <c r="N21" s="2" t="s">
        <v>25</v>
      </c>
      <c r="O21" s="17">
        <v>0.23980000000000001</v>
      </c>
      <c r="P21" s="16">
        <v>0.2326</v>
      </c>
      <c r="Q21" s="16">
        <v>0.2205</v>
      </c>
      <c r="R21" s="16">
        <v>0.22520000000000001</v>
      </c>
      <c r="S21" s="16">
        <v>0.23369999999999999</v>
      </c>
      <c r="T21" s="16">
        <v>0.22309999999999999</v>
      </c>
      <c r="U21" s="16">
        <v>0.22159999999999999</v>
      </c>
      <c r="V21" s="16">
        <v>0.22209999999999999</v>
      </c>
      <c r="W21" s="16">
        <v>0.22850000000000001</v>
      </c>
      <c r="X21" s="16">
        <v>0.22450000000000001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8" t="s">
        <v>1</v>
      </c>
      <c r="C24" s="10" t="s">
        <v>16</v>
      </c>
      <c r="D24" s="11"/>
      <c r="E24" s="11"/>
      <c r="F24" s="11"/>
      <c r="G24" s="11"/>
      <c r="H24" s="11"/>
      <c r="I24" s="11"/>
      <c r="J24" s="11"/>
      <c r="K24" s="11"/>
      <c r="L24" s="12"/>
      <c r="N24" s="8" t="s">
        <v>1</v>
      </c>
      <c r="O24" s="10" t="s">
        <v>16</v>
      </c>
      <c r="P24" s="11"/>
      <c r="Q24" s="11"/>
      <c r="R24" s="11"/>
      <c r="S24" s="11"/>
      <c r="T24" s="11"/>
      <c r="U24" s="11"/>
      <c r="V24" s="11"/>
      <c r="W24" s="11"/>
      <c r="X24" s="12"/>
    </row>
    <row r="25" spans="2:24" x14ac:dyDescent="0.25">
      <c r="B25" s="9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9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16">
        <v>2.4500000000000001E-2</v>
      </c>
      <c r="D26" s="16">
        <v>2.4500000000000001E-2</v>
      </c>
      <c r="E26" s="16">
        <v>2.4500000000000001E-2</v>
      </c>
      <c r="F26" s="16">
        <v>2.4400000000000002E-2</v>
      </c>
      <c r="G26" s="16">
        <v>2.4400000000000002E-2</v>
      </c>
      <c r="H26" s="16">
        <v>2.4500000000000001E-2</v>
      </c>
      <c r="I26" s="16">
        <v>2.4500000000000001E-2</v>
      </c>
      <c r="J26" s="16">
        <v>2.4500000000000001E-2</v>
      </c>
      <c r="K26" s="16">
        <v>2.4400000000000002E-2</v>
      </c>
      <c r="L26" s="16">
        <v>2.4500000000000001E-2</v>
      </c>
      <c r="N26" s="2" t="s">
        <v>20</v>
      </c>
      <c r="O26" s="16">
        <v>0.12230000000000001</v>
      </c>
      <c r="P26" s="16">
        <v>0.12230000000000001</v>
      </c>
      <c r="Q26" s="16">
        <v>0.12230000000000001</v>
      </c>
      <c r="R26" s="16">
        <v>0.1222</v>
      </c>
      <c r="S26" s="16">
        <v>0.12230000000000001</v>
      </c>
      <c r="T26" s="16">
        <v>0.1222</v>
      </c>
      <c r="U26" s="16">
        <v>0.12230000000000001</v>
      </c>
      <c r="V26" s="16">
        <v>0.12770000000000001</v>
      </c>
      <c r="W26" s="16">
        <v>0.12230000000000001</v>
      </c>
      <c r="X26" s="16">
        <v>0.12230000000000001</v>
      </c>
    </row>
    <row r="27" spans="2:24" x14ac:dyDescent="0.25">
      <c r="B27" s="2" t="s">
        <v>21</v>
      </c>
      <c r="C27" s="16">
        <v>62.367600000000003</v>
      </c>
      <c r="D27" s="16">
        <v>61.901699999999998</v>
      </c>
      <c r="E27" s="16">
        <v>61.0244</v>
      </c>
      <c r="F27" s="16">
        <v>61.341900000000003</v>
      </c>
      <c r="G27" s="16">
        <v>62.475499999999997</v>
      </c>
      <c r="H27" s="16">
        <v>60.632399999999997</v>
      </c>
      <c r="I27" s="16">
        <v>61.600999999999999</v>
      </c>
      <c r="J27" s="16">
        <v>61.796999999999997</v>
      </c>
      <c r="K27" s="16">
        <v>61.085999999999999</v>
      </c>
      <c r="L27" s="16">
        <v>62.555399999999999</v>
      </c>
      <c r="N27" s="2" t="s">
        <v>21</v>
      </c>
      <c r="O27" s="16">
        <v>1544.2574999999999</v>
      </c>
      <c r="P27" s="16">
        <v>1557.4327000000001</v>
      </c>
      <c r="Q27" s="16">
        <v>1568.2515000000001</v>
      </c>
      <c r="R27" s="16">
        <v>1526.5696</v>
      </c>
      <c r="S27" s="16">
        <v>1660.1524999999999</v>
      </c>
      <c r="T27" s="16">
        <v>1614.6695999999999</v>
      </c>
      <c r="U27" s="16">
        <v>1586.1161</v>
      </c>
      <c r="V27" s="16">
        <v>1648.0002999999999</v>
      </c>
      <c r="W27" s="16">
        <v>1579.9689000000001</v>
      </c>
      <c r="X27" s="16">
        <v>1599.7979</v>
      </c>
    </row>
    <row r="28" spans="2:24" x14ac:dyDescent="0.25">
      <c r="B28" s="2" t="s">
        <v>22</v>
      </c>
      <c r="C28" s="16">
        <v>74.833799999999997</v>
      </c>
      <c r="D28" s="16">
        <v>76.621399999999994</v>
      </c>
      <c r="E28" s="16">
        <v>76.111699999999999</v>
      </c>
      <c r="F28" s="16">
        <v>73.632300000000001</v>
      </c>
      <c r="G28" s="16">
        <v>73.761700000000005</v>
      </c>
      <c r="H28" s="16">
        <v>73.587500000000006</v>
      </c>
      <c r="I28" s="16">
        <v>76.504099999999994</v>
      </c>
      <c r="J28" s="16">
        <v>81.421400000000006</v>
      </c>
      <c r="K28" s="16">
        <v>90.009</v>
      </c>
      <c r="L28" s="16">
        <v>73.204300000000003</v>
      </c>
      <c r="N28" s="2" t="s">
        <v>22</v>
      </c>
      <c r="O28" s="16">
        <v>1912.9282000000001</v>
      </c>
      <c r="P28" s="16">
        <v>1884.4626000000001</v>
      </c>
      <c r="Q28" s="16">
        <v>1904.6116999999999</v>
      </c>
      <c r="R28" s="16">
        <v>2017.0499</v>
      </c>
      <c r="S28" s="16">
        <v>1899.6895</v>
      </c>
      <c r="T28" s="16">
        <v>1875.664</v>
      </c>
      <c r="U28" s="16">
        <v>1980.425</v>
      </c>
      <c r="V28" s="16">
        <v>1861.0727999999999</v>
      </c>
      <c r="W28" s="16">
        <v>1872.2660000000001</v>
      </c>
      <c r="X28" s="16">
        <v>1881.9192</v>
      </c>
    </row>
    <row r="29" spans="2:24" x14ac:dyDescent="0.25">
      <c r="B29" s="2" t="s">
        <v>23</v>
      </c>
      <c r="C29" s="16">
        <v>0.64270000000000005</v>
      </c>
      <c r="D29" s="16">
        <v>0.6401</v>
      </c>
      <c r="E29" s="16">
        <v>0.65539999999999998</v>
      </c>
      <c r="F29" s="16">
        <v>0.64</v>
      </c>
      <c r="G29" s="16">
        <v>0.65959999999999996</v>
      </c>
      <c r="H29" s="16">
        <v>0.64859999999999995</v>
      </c>
      <c r="I29" s="16">
        <v>0.63980000000000004</v>
      </c>
      <c r="J29" s="16">
        <v>0.64080000000000004</v>
      </c>
      <c r="K29" s="16">
        <v>0.64729999999999999</v>
      </c>
      <c r="L29" s="16">
        <v>0.64070000000000005</v>
      </c>
      <c r="N29" s="2" t="s">
        <v>23</v>
      </c>
      <c r="O29" s="16">
        <v>3.6398000000000001</v>
      </c>
      <c r="P29" s="16">
        <v>3.7240000000000002</v>
      </c>
      <c r="Q29" s="16">
        <v>3.6631</v>
      </c>
      <c r="R29" s="16">
        <v>3.6871</v>
      </c>
      <c r="S29" s="16">
        <v>3.6657000000000002</v>
      </c>
      <c r="T29" s="16">
        <v>3.7033999999999998</v>
      </c>
      <c r="U29" s="16">
        <v>3.6800999999999999</v>
      </c>
      <c r="V29" s="16">
        <v>3.6440999999999999</v>
      </c>
      <c r="W29" s="16">
        <v>3.6665000000000001</v>
      </c>
      <c r="X29" s="16">
        <v>3.782</v>
      </c>
    </row>
    <row r="30" spans="2:24" x14ac:dyDescent="0.25">
      <c r="B30" s="2" t="s">
        <v>24</v>
      </c>
      <c r="C30" s="16">
        <v>54.234200000000001</v>
      </c>
      <c r="D30" s="16">
        <v>55.121499999999997</v>
      </c>
      <c r="E30" s="16">
        <v>54.447299999999998</v>
      </c>
      <c r="F30" s="16">
        <v>55.137500000000003</v>
      </c>
      <c r="G30" s="16">
        <v>58.606099999999998</v>
      </c>
      <c r="H30" s="16">
        <v>55.237900000000003</v>
      </c>
      <c r="I30" s="16">
        <v>54.664200000000001</v>
      </c>
      <c r="J30" s="16">
        <v>54.142200000000003</v>
      </c>
      <c r="K30" s="16">
        <v>54.662700000000001</v>
      </c>
      <c r="L30" s="16">
        <v>56.613500000000002</v>
      </c>
      <c r="N30" s="2" t="s">
        <v>24</v>
      </c>
      <c r="O30" s="16">
        <v>1370.6029000000001</v>
      </c>
      <c r="P30" s="16">
        <v>1386.6452999999999</v>
      </c>
      <c r="Q30" s="16">
        <v>1469.2831000000001</v>
      </c>
      <c r="R30" s="16">
        <v>1389.9918</v>
      </c>
      <c r="S30" s="16">
        <v>1388.2077999999999</v>
      </c>
      <c r="T30" s="16">
        <v>1406.0782999999999</v>
      </c>
      <c r="U30" s="16">
        <v>1403.9821999999999</v>
      </c>
      <c r="V30" s="16">
        <v>1384.3742999999999</v>
      </c>
      <c r="W30" s="16">
        <v>1392.9535000000001</v>
      </c>
      <c r="X30" s="16">
        <v>1368.1194</v>
      </c>
    </row>
    <row r="31" spans="2:24" x14ac:dyDescent="0.25">
      <c r="B31" s="2" t="s">
        <v>25</v>
      </c>
      <c r="C31" s="17">
        <v>0.42549999999999999</v>
      </c>
      <c r="D31" s="16">
        <v>0.40849999999999997</v>
      </c>
      <c r="E31" s="16">
        <v>0.40429999999999999</v>
      </c>
      <c r="F31" s="16">
        <v>0.40250000000000002</v>
      </c>
      <c r="G31" s="16">
        <v>0.4</v>
      </c>
      <c r="H31" s="16">
        <v>0.4042</v>
      </c>
      <c r="I31" s="16">
        <v>0.40179999999999999</v>
      </c>
      <c r="J31" s="16">
        <v>0.3992</v>
      </c>
      <c r="K31" s="16">
        <v>0.39989999999999998</v>
      </c>
      <c r="L31" s="16">
        <v>0.40639999999999998</v>
      </c>
      <c r="N31" s="2" t="s">
        <v>25</v>
      </c>
      <c r="O31" s="17">
        <v>2.9708000000000001</v>
      </c>
      <c r="P31" s="16">
        <v>2.9462999999999999</v>
      </c>
      <c r="Q31" s="16">
        <v>2.8967999999999998</v>
      </c>
      <c r="R31" s="16">
        <v>3.0565000000000002</v>
      </c>
      <c r="S31" s="16">
        <v>2.9175</v>
      </c>
      <c r="T31" s="16">
        <v>2.9504999999999999</v>
      </c>
      <c r="U31" s="16">
        <v>2.9243999999999999</v>
      </c>
      <c r="V31" s="16">
        <v>2.8656000000000001</v>
      </c>
      <c r="W31" s="16">
        <v>3.089</v>
      </c>
      <c r="X31" s="16">
        <v>2.9117000000000002</v>
      </c>
    </row>
    <row r="34" spans="2:8" x14ac:dyDescent="0.25">
      <c r="B34" s="8" t="s">
        <v>1</v>
      </c>
      <c r="C34" s="15" t="s">
        <v>26</v>
      </c>
      <c r="D34" s="11"/>
      <c r="E34" s="11"/>
      <c r="F34" s="11"/>
      <c r="G34" s="11"/>
      <c r="H34" s="12"/>
    </row>
    <row r="35" spans="2:8" x14ac:dyDescent="0.25">
      <c r="B35" s="9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8" x14ac:dyDescent="0.25">
      <c r="B36" s="2" t="s">
        <v>20</v>
      </c>
      <c r="C36" s="16">
        <f t="shared" ref="C36:C41" si="0">IF(COUNTBLANK(C6:L6)&gt;0,"undone",AVERAGE(C6:L6))</f>
        <v>2.7999999999999998E-4</v>
      </c>
      <c r="D36" s="16">
        <f t="shared" ref="D36:D41" si="1">IF(COUNTBLANK(O6:X6)&gt;0,"undone",AVERAGE(O6:X6))</f>
        <v>1.2399999999999998E-3</v>
      </c>
      <c r="E36" s="16">
        <f t="shared" ref="E36:E41" si="2">IF(COUNTBLANK(C16:L16)&gt;0,"undone",AVERAGE(C16:L16))</f>
        <v>2.4799999999999996E-3</v>
      </c>
      <c r="F36" s="16">
        <f t="shared" ref="F36:F41" si="3">IF(COUNTBLANK(O16:X16)&gt;0,"undone",AVERAGE(O16:X16))</f>
        <v>1.2260000000000002E-2</v>
      </c>
      <c r="G36" s="16">
        <f t="shared" ref="G36:G41" si="4">IF(COUNTBLANK(C26:L26)&gt;0,"undone",AVERAGE(C26:L26))</f>
        <v>2.4469999999999999E-2</v>
      </c>
      <c r="H36" s="16">
        <f t="shared" ref="H36:H41" si="5">IF(COUNTBLANK(O26:X26)&gt;0,"undone",AVERAGE(O26:X26))</f>
        <v>0.12282</v>
      </c>
    </row>
    <row r="37" spans="2:8" x14ac:dyDescent="0.25">
      <c r="B37" s="2" t="s">
        <v>21</v>
      </c>
      <c r="C37" s="16">
        <f t="shared" si="0"/>
        <v>7.3800000000000003E-3</v>
      </c>
      <c r="D37" s="16">
        <f t="shared" si="1"/>
        <v>0.15373000000000001</v>
      </c>
      <c r="E37" s="16">
        <f t="shared" si="2"/>
        <v>0.64056000000000002</v>
      </c>
      <c r="F37" s="16">
        <f t="shared" si="3"/>
        <v>15.431139999999999</v>
      </c>
      <c r="G37" s="16">
        <f t="shared" si="4"/>
        <v>61.678290000000004</v>
      </c>
      <c r="H37" s="16">
        <f t="shared" si="5"/>
        <v>1588.5216599999999</v>
      </c>
    </row>
    <row r="38" spans="2:8" x14ac:dyDescent="0.25">
      <c r="B38" s="2" t="s">
        <v>22</v>
      </c>
      <c r="C38" s="16">
        <f t="shared" si="0"/>
        <v>7.5699999999999986E-3</v>
      </c>
      <c r="D38" s="16">
        <f t="shared" si="1"/>
        <v>0.18410999999999997</v>
      </c>
      <c r="E38" s="16">
        <f t="shared" si="2"/>
        <v>0.75385000000000013</v>
      </c>
      <c r="F38" s="16">
        <f t="shared" si="3"/>
        <v>18.468240000000002</v>
      </c>
      <c r="G38" s="16">
        <f t="shared" si="4"/>
        <v>76.96871999999999</v>
      </c>
      <c r="H38" s="16">
        <f t="shared" si="5"/>
        <v>1909.0088900000003</v>
      </c>
    </row>
    <row r="39" spans="2:8" x14ac:dyDescent="0.25">
      <c r="B39" s="2" t="s">
        <v>23</v>
      </c>
      <c r="C39" s="16">
        <f t="shared" si="0"/>
        <v>4.0300000000000006E-3</v>
      </c>
      <c r="D39" s="16">
        <f t="shared" si="1"/>
        <v>2.3880000000000002E-2</v>
      </c>
      <c r="E39" s="16">
        <f t="shared" si="2"/>
        <v>5.1610000000000003E-2</v>
      </c>
      <c r="F39" s="16">
        <f t="shared" si="3"/>
        <v>0.30335000000000001</v>
      </c>
      <c r="G39" s="16">
        <f t="shared" si="4"/>
        <v>0.64549999999999996</v>
      </c>
      <c r="H39" s="16">
        <f t="shared" si="5"/>
        <v>3.6855800000000003</v>
      </c>
    </row>
    <row r="40" spans="2:8" x14ac:dyDescent="0.25">
      <c r="B40" s="2" t="s">
        <v>24</v>
      </c>
      <c r="C40" s="16">
        <f t="shared" si="0"/>
        <v>6.2899999999999996E-3</v>
      </c>
      <c r="D40" s="16">
        <f t="shared" si="1"/>
        <v>0.14540000000000003</v>
      </c>
      <c r="E40" s="16">
        <f t="shared" si="2"/>
        <v>0.56005000000000005</v>
      </c>
      <c r="F40" s="16">
        <f t="shared" si="3"/>
        <v>13.764590000000002</v>
      </c>
      <c r="G40" s="16">
        <f t="shared" si="4"/>
        <v>55.286710000000006</v>
      </c>
      <c r="H40" s="16">
        <f t="shared" si="5"/>
        <v>1396.0238599999998</v>
      </c>
    </row>
    <row r="41" spans="2:8" x14ac:dyDescent="0.25">
      <c r="B41" s="2" t="s">
        <v>25</v>
      </c>
      <c r="C41" s="16">
        <f t="shared" si="0"/>
        <v>3.7500000000000007E-3</v>
      </c>
      <c r="D41" s="16">
        <f t="shared" si="1"/>
        <v>2.0990000000000002E-2</v>
      </c>
      <c r="E41" s="16">
        <f t="shared" si="2"/>
        <v>7.1000000000000008E-2</v>
      </c>
      <c r="F41" s="16">
        <f t="shared" si="3"/>
        <v>0.22716000000000003</v>
      </c>
      <c r="G41" s="16">
        <f t="shared" si="4"/>
        <v>0.40522999999999998</v>
      </c>
      <c r="H41" s="16">
        <f t="shared" si="5"/>
        <v>2.9529099999999997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X41"/>
  <sheetViews>
    <sheetView zoomScale="82" workbookViewId="0">
      <selection activeCell="M18" sqref="M18"/>
    </sheetView>
  </sheetViews>
  <sheetFormatPr defaultRowHeight="13.8" x14ac:dyDescent="0.25"/>
  <sheetData>
    <row r="1" spans="1:24" x14ac:dyDescent="0.25">
      <c r="A1" s="7" t="s">
        <v>18</v>
      </c>
      <c r="B1" s="7"/>
    </row>
    <row r="6" spans="1:24" x14ac:dyDescent="0.25">
      <c r="C6" s="18"/>
      <c r="D6" s="18"/>
      <c r="E6" s="18"/>
      <c r="F6" s="18"/>
      <c r="G6" s="18"/>
      <c r="H6" s="18"/>
      <c r="I6" s="18"/>
      <c r="J6" s="18"/>
      <c r="K6" s="18"/>
      <c r="L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4" x14ac:dyDescent="0.25">
      <c r="C7" s="18"/>
      <c r="D7" s="18"/>
      <c r="E7" s="18"/>
      <c r="F7" s="18"/>
      <c r="G7" s="18"/>
      <c r="H7" s="18"/>
      <c r="I7" s="18"/>
      <c r="J7" s="18"/>
      <c r="K7" s="18"/>
      <c r="L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25">
      <c r="C8" s="18"/>
      <c r="D8" s="18"/>
      <c r="E8" s="18"/>
      <c r="F8" s="18"/>
      <c r="G8" s="18"/>
      <c r="H8" s="18"/>
      <c r="I8" s="18"/>
      <c r="J8" s="18"/>
      <c r="K8" s="18"/>
      <c r="L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4" x14ac:dyDescent="0.25">
      <c r="C9" s="18"/>
      <c r="D9" s="18"/>
      <c r="E9" s="18"/>
      <c r="F9" s="18"/>
      <c r="G9" s="18"/>
      <c r="H9" s="18"/>
      <c r="I9" s="18"/>
      <c r="J9" s="18"/>
      <c r="K9" s="18"/>
      <c r="L9" s="18"/>
      <c r="O9" s="18"/>
      <c r="P9" s="18"/>
      <c r="Q9" s="18"/>
      <c r="R9" s="18"/>
      <c r="S9" s="18"/>
      <c r="T9" s="18"/>
      <c r="U9" s="18"/>
      <c r="V9" s="18"/>
      <c r="W9" s="18"/>
      <c r="X9" s="18"/>
    </row>
    <row r="10" spans="1:24" x14ac:dyDescent="0.25">
      <c r="C10" s="18"/>
      <c r="D10" s="18"/>
      <c r="E10" s="18"/>
      <c r="F10" s="18"/>
      <c r="G10" s="18"/>
      <c r="H10" s="18"/>
      <c r="I10" s="18"/>
      <c r="J10" s="18"/>
      <c r="K10" s="18"/>
      <c r="L10" s="18"/>
      <c r="O10" s="18"/>
      <c r="P10" s="18"/>
      <c r="Q10" s="18"/>
      <c r="R10" s="18"/>
      <c r="S10" s="18"/>
      <c r="T10" s="18"/>
      <c r="U10" s="18"/>
      <c r="V10" s="18"/>
      <c r="W10" s="18"/>
      <c r="X10" s="18"/>
    </row>
    <row r="11" spans="1:24" x14ac:dyDescent="0.25">
      <c r="C11" s="18"/>
      <c r="D11" s="18"/>
      <c r="E11" s="18"/>
      <c r="F11" s="18"/>
      <c r="G11" s="18"/>
      <c r="H11" s="18"/>
      <c r="I11" s="18"/>
      <c r="J11" s="18"/>
      <c r="K11" s="18"/>
      <c r="L11" s="18"/>
      <c r="O11" s="18"/>
      <c r="P11" s="18"/>
      <c r="Q11" s="18"/>
      <c r="R11" s="18"/>
      <c r="S11" s="18"/>
      <c r="T11" s="18"/>
      <c r="U11" s="18"/>
      <c r="V11" s="18"/>
      <c r="W11" s="18"/>
      <c r="X11" s="18"/>
    </row>
    <row r="16" spans="1:24" x14ac:dyDescent="0.25">
      <c r="C16" s="18"/>
      <c r="D16" s="18"/>
      <c r="E16" s="18"/>
      <c r="F16" s="18"/>
      <c r="G16" s="18"/>
      <c r="H16" s="18"/>
      <c r="I16" s="18"/>
      <c r="J16" s="18"/>
      <c r="K16" s="18"/>
      <c r="L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3:24" x14ac:dyDescent="0.25">
      <c r="C17" s="18"/>
      <c r="D17" s="18"/>
      <c r="E17" s="18"/>
      <c r="F17" s="18"/>
      <c r="G17" s="18"/>
      <c r="H17" s="18"/>
      <c r="I17" s="18"/>
      <c r="J17" s="18"/>
      <c r="K17" s="18"/>
      <c r="L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8" spans="3:24" x14ac:dyDescent="0.25">
      <c r="C18" s="18"/>
      <c r="D18" s="18"/>
      <c r="E18" s="18"/>
      <c r="F18" s="18"/>
      <c r="G18" s="18"/>
      <c r="H18" s="18"/>
      <c r="I18" s="18"/>
      <c r="J18" s="18"/>
      <c r="K18" s="18"/>
      <c r="L18" s="18"/>
      <c r="O18" s="18"/>
      <c r="P18" s="18"/>
      <c r="Q18" s="18"/>
      <c r="R18" s="18"/>
      <c r="S18" s="18"/>
      <c r="T18" s="18"/>
      <c r="U18" s="18"/>
      <c r="V18" s="18"/>
      <c r="W18" s="18"/>
      <c r="X18" s="18"/>
    </row>
    <row r="19" spans="3:24" x14ac:dyDescent="0.25">
      <c r="C19" s="18"/>
      <c r="D19" s="18"/>
      <c r="E19" s="18"/>
      <c r="F19" s="18"/>
      <c r="G19" s="18"/>
      <c r="H19" s="18"/>
      <c r="I19" s="18"/>
      <c r="J19" s="18"/>
      <c r="K19" s="18"/>
      <c r="L19" s="18"/>
      <c r="O19" s="18"/>
      <c r="P19" s="18"/>
      <c r="Q19" s="18"/>
      <c r="R19" s="18"/>
      <c r="S19" s="18"/>
      <c r="T19" s="18"/>
      <c r="U19" s="18"/>
      <c r="V19" s="18"/>
      <c r="W19" s="18"/>
      <c r="X19" s="18"/>
    </row>
    <row r="20" spans="3:24" x14ac:dyDescent="0.25">
      <c r="C20" s="18"/>
      <c r="D20" s="18"/>
      <c r="E20" s="18"/>
      <c r="F20" s="18"/>
      <c r="G20" s="18"/>
      <c r="H20" s="18"/>
      <c r="I20" s="18"/>
      <c r="J20" s="18"/>
      <c r="K20" s="18"/>
      <c r="L20" s="18"/>
      <c r="O20" s="18"/>
      <c r="P20" s="18"/>
      <c r="Q20" s="18"/>
      <c r="R20" s="18"/>
      <c r="S20" s="18"/>
      <c r="T20" s="18"/>
      <c r="U20" s="18"/>
      <c r="V20" s="18"/>
      <c r="W20" s="18"/>
      <c r="X20" s="18"/>
    </row>
    <row r="21" spans="3:24" x14ac:dyDescent="0.25">
      <c r="C21" s="18"/>
      <c r="D21" s="18"/>
      <c r="E21" s="18"/>
      <c r="F21" s="18"/>
      <c r="G21" s="18"/>
      <c r="H21" s="18"/>
      <c r="I21" s="18"/>
      <c r="J21" s="18"/>
      <c r="K21" s="18"/>
      <c r="L21" s="18"/>
      <c r="O21" s="18"/>
      <c r="P21" s="18"/>
      <c r="Q21" s="18"/>
      <c r="R21" s="18"/>
      <c r="S21" s="18"/>
      <c r="T21" s="18"/>
      <c r="U21" s="18"/>
      <c r="V21" s="18"/>
      <c r="W21" s="18"/>
      <c r="X21" s="18"/>
    </row>
    <row r="26" spans="3:2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O26" s="18"/>
      <c r="P26" s="18"/>
      <c r="Q26" s="18"/>
      <c r="R26" s="18"/>
      <c r="S26" s="18"/>
      <c r="T26" s="18"/>
      <c r="U26" s="18"/>
      <c r="V26" s="18"/>
      <c r="W26" s="18"/>
      <c r="X26" s="18"/>
    </row>
    <row r="27" spans="3:24" x14ac:dyDescent="0.25">
      <c r="C27" s="18"/>
      <c r="D27" s="18"/>
      <c r="E27" s="18"/>
      <c r="F27" s="18"/>
      <c r="G27" s="18"/>
      <c r="H27" s="18"/>
      <c r="I27" s="18"/>
      <c r="J27" s="18"/>
      <c r="K27" s="18"/>
      <c r="L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8" spans="3:24" x14ac:dyDescent="0.25">
      <c r="C28" s="18"/>
      <c r="D28" s="18"/>
      <c r="E28" s="18"/>
      <c r="F28" s="18"/>
      <c r="G28" s="18"/>
      <c r="H28" s="18"/>
      <c r="I28" s="18"/>
      <c r="J28" s="18"/>
      <c r="K28" s="18"/>
      <c r="L28" s="18"/>
      <c r="O28" s="18"/>
      <c r="P28" s="18"/>
      <c r="Q28" s="18"/>
      <c r="R28" s="18"/>
      <c r="S28" s="18"/>
      <c r="T28" s="18"/>
      <c r="U28" s="18"/>
      <c r="V28" s="18"/>
      <c r="W28" s="18"/>
      <c r="X28" s="18"/>
    </row>
    <row r="29" spans="3:24" x14ac:dyDescent="0.25">
      <c r="C29" s="18"/>
      <c r="D29" s="18"/>
      <c r="E29" s="18"/>
      <c r="F29" s="18"/>
      <c r="G29" s="18"/>
      <c r="H29" s="18"/>
      <c r="I29" s="18"/>
      <c r="J29" s="18"/>
      <c r="K29" s="18"/>
      <c r="L29" s="18"/>
      <c r="O29" s="18"/>
      <c r="P29" s="18"/>
      <c r="Q29" s="18"/>
      <c r="R29" s="18"/>
      <c r="S29" s="18"/>
      <c r="T29" s="18"/>
      <c r="U29" s="18"/>
      <c r="V29" s="18"/>
      <c r="W29" s="18"/>
      <c r="X29" s="18"/>
    </row>
    <row r="30" spans="3:24" x14ac:dyDescent="0.25">
      <c r="C30" s="18"/>
      <c r="D30" s="18"/>
      <c r="E30" s="18"/>
      <c r="F30" s="18"/>
      <c r="G30" s="18"/>
      <c r="H30" s="18"/>
      <c r="I30" s="18"/>
      <c r="J30" s="18"/>
      <c r="K30" s="18"/>
      <c r="L30" s="18"/>
      <c r="O30" s="18"/>
      <c r="P30" s="18"/>
      <c r="Q30" s="18"/>
      <c r="R30" s="18"/>
      <c r="S30" s="18"/>
      <c r="T30" s="18"/>
      <c r="U30" s="18"/>
      <c r="V30" s="18"/>
      <c r="W30" s="18"/>
      <c r="X30" s="18"/>
    </row>
    <row r="31" spans="3:24" x14ac:dyDescent="0.25">
      <c r="C31" s="18"/>
      <c r="D31" s="18"/>
      <c r="E31" s="18"/>
      <c r="F31" s="18"/>
      <c r="G31" s="18"/>
      <c r="H31" s="18"/>
      <c r="I31" s="18"/>
      <c r="J31" s="18"/>
      <c r="K31" s="18"/>
      <c r="L31" s="18"/>
      <c r="O31" s="18"/>
      <c r="P31" s="18"/>
      <c r="Q31" s="18"/>
      <c r="R31" s="18"/>
      <c r="S31" s="18"/>
      <c r="T31" s="18"/>
      <c r="U31" s="18"/>
      <c r="V31" s="18"/>
      <c r="W31" s="18"/>
      <c r="X31" s="18"/>
    </row>
    <row r="36" spans="3:8" x14ac:dyDescent="0.25">
      <c r="C36" s="18"/>
      <c r="D36" s="18"/>
      <c r="E36" s="18"/>
      <c r="F36" s="18"/>
      <c r="G36" s="18"/>
      <c r="H36" s="18"/>
    </row>
    <row r="37" spans="3:8" x14ac:dyDescent="0.25">
      <c r="C37" s="18"/>
      <c r="D37" s="18"/>
      <c r="E37" s="18"/>
      <c r="F37" s="18"/>
      <c r="G37" s="18"/>
      <c r="H37" s="18"/>
    </row>
    <row r="38" spans="3:8" x14ac:dyDescent="0.25">
      <c r="C38" s="18"/>
      <c r="D38" s="18"/>
      <c r="E38" s="18"/>
      <c r="F38" s="18"/>
      <c r="G38" s="18"/>
      <c r="H38" s="18"/>
    </row>
    <row r="39" spans="3:8" x14ac:dyDescent="0.25">
      <c r="C39" s="18"/>
      <c r="D39" s="18"/>
      <c r="E39" s="18"/>
      <c r="F39" s="18"/>
      <c r="G39" s="18"/>
      <c r="H39" s="18"/>
    </row>
    <row r="40" spans="3:8" x14ac:dyDescent="0.25">
      <c r="C40" s="18"/>
      <c r="D40" s="18"/>
      <c r="E40" s="18"/>
      <c r="F40" s="18"/>
      <c r="G40" s="18"/>
      <c r="H40" s="18"/>
    </row>
    <row r="41" spans="3:8" x14ac:dyDescent="0.25">
      <c r="C41" s="18"/>
      <c r="D41" s="18"/>
      <c r="E41" s="18"/>
      <c r="F41" s="18"/>
      <c r="G41" s="18"/>
      <c r="H41" s="18"/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1"/>
  <sheetViews>
    <sheetView zoomScale="70" workbookViewId="0">
      <selection activeCell="N36" sqref="N36"/>
    </sheetView>
  </sheetViews>
  <sheetFormatPr defaultRowHeight="13.8" x14ac:dyDescent="0.25"/>
  <cols>
    <col min="1" max="1" width="8.796875" style="1"/>
    <col min="2" max="2" width="20.296875" style="1" bestFit="1" customWidth="1"/>
    <col min="3" max="12" width="9.69921875" style="1" customWidth="1"/>
    <col min="13" max="13" width="8.796875" style="1"/>
    <col min="14" max="14" width="20.296875" style="1" bestFit="1" customWidth="1"/>
    <col min="15" max="24" width="9.69921875" style="1" customWidth="1"/>
    <col min="25" max="16384" width="8.796875" style="1"/>
  </cols>
  <sheetData>
    <row r="1" spans="1:24" x14ac:dyDescent="0.25">
      <c r="A1" s="13" t="s">
        <v>13</v>
      </c>
      <c r="B1" s="14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8" t="s">
        <v>1</v>
      </c>
      <c r="C4" s="10" t="s">
        <v>16</v>
      </c>
      <c r="D4" s="11"/>
      <c r="E4" s="11"/>
      <c r="F4" s="11"/>
      <c r="G4" s="11"/>
      <c r="H4" s="11"/>
      <c r="I4" s="11"/>
      <c r="J4" s="11"/>
      <c r="K4" s="11"/>
      <c r="L4" s="12"/>
      <c r="N4" s="8" t="s">
        <v>1</v>
      </c>
      <c r="O4" s="10" t="s">
        <v>16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9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9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16">
        <v>1.0699999999999999E-2</v>
      </c>
      <c r="D6" s="16">
        <v>1.0200000000000001E-2</v>
      </c>
      <c r="E6" s="16">
        <v>9.9000000000000008E-3</v>
      </c>
      <c r="F6" s="16">
        <v>9.7999999999999997E-3</v>
      </c>
      <c r="G6" s="16">
        <v>9.7999999999999997E-3</v>
      </c>
      <c r="H6" s="16">
        <v>9.7999999999999997E-3</v>
      </c>
      <c r="I6" s="16">
        <v>9.7999999999999997E-3</v>
      </c>
      <c r="J6" s="16">
        <v>9.7999999999999997E-3</v>
      </c>
      <c r="K6" s="16">
        <v>9.7999999999999997E-3</v>
      </c>
      <c r="L6" s="16">
        <v>9.7999999999999997E-3</v>
      </c>
      <c r="N6" s="2" t="s">
        <v>20</v>
      </c>
      <c r="O6" s="16">
        <v>0.25900000000000001</v>
      </c>
      <c r="P6" s="16">
        <v>0.2727</v>
      </c>
      <c r="Q6" s="16">
        <v>0.27539999999999998</v>
      </c>
      <c r="R6" s="16">
        <v>0.25779999999999997</v>
      </c>
      <c r="S6" s="16">
        <v>0.24940000000000001</v>
      </c>
      <c r="T6" s="16">
        <v>0.24929999999999999</v>
      </c>
      <c r="U6" s="16">
        <v>0.25900000000000001</v>
      </c>
      <c r="V6" s="16">
        <v>0.24909999999999999</v>
      </c>
      <c r="W6" s="16">
        <v>0.2492</v>
      </c>
      <c r="X6" s="16">
        <v>0.25090000000000001</v>
      </c>
    </row>
    <row r="7" spans="1:24" x14ac:dyDescent="0.25">
      <c r="B7" s="2" t="s">
        <v>21</v>
      </c>
      <c r="C7" s="16">
        <v>8.6E-3</v>
      </c>
      <c r="D7" s="16">
        <v>8.5000000000000006E-3</v>
      </c>
      <c r="E7" s="16">
        <v>8.0000000000000002E-3</v>
      </c>
      <c r="F7" s="16">
        <v>7.4000000000000003E-3</v>
      </c>
      <c r="G7" s="16">
        <v>7.4000000000000003E-3</v>
      </c>
      <c r="H7" s="16">
        <v>7.1999999999999998E-3</v>
      </c>
      <c r="I7" s="16">
        <v>7.1999999999999998E-3</v>
      </c>
      <c r="J7" s="16">
        <v>7.1999999999999998E-3</v>
      </c>
      <c r="K7" s="16">
        <v>7.1999999999999998E-3</v>
      </c>
      <c r="L7" s="16">
        <v>7.1999999999999998E-3</v>
      </c>
      <c r="N7" s="2" t="s">
        <v>21</v>
      </c>
      <c r="O7" s="16">
        <v>0.1842</v>
      </c>
      <c r="P7" s="16">
        <v>0.1845</v>
      </c>
      <c r="Q7" s="16">
        <v>0.18440000000000001</v>
      </c>
      <c r="R7" s="16">
        <v>0.1842</v>
      </c>
      <c r="S7" s="16">
        <v>0.18390000000000001</v>
      </c>
      <c r="T7" s="16">
        <v>0.18820000000000001</v>
      </c>
      <c r="U7" s="16">
        <v>0.1842</v>
      </c>
      <c r="V7" s="16">
        <v>0.18440000000000001</v>
      </c>
      <c r="W7" s="16">
        <v>0.21360000000000001</v>
      </c>
      <c r="X7" s="16">
        <v>0.184</v>
      </c>
    </row>
    <row r="8" spans="1:24" x14ac:dyDescent="0.25">
      <c r="B8" s="2" t="s">
        <v>22</v>
      </c>
      <c r="C8" s="16">
        <v>1.6E-2</v>
      </c>
      <c r="D8" s="16">
        <v>2.2599999999999999E-2</v>
      </c>
      <c r="E8" s="16">
        <v>1.6400000000000001E-2</v>
      </c>
      <c r="F8" s="16">
        <v>1.6500000000000001E-2</v>
      </c>
      <c r="G8" s="16">
        <v>1.6500000000000001E-2</v>
      </c>
      <c r="H8" s="16">
        <v>1.6500000000000001E-2</v>
      </c>
      <c r="I8" s="16">
        <v>1.66E-2</v>
      </c>
      <c r="J8" s="16">
        <v>1.6500000000000001E-2</v>
      </c>
      <c r="K8" s="16">
        <v>1.66E-2</v>
      </c>
      <c r="L8" s="16">
        <v>1.66E-2</v>
      </c>
      <c r="N8" s="2" t="s">
        <v>22</v>
      </c>
      <c r="O8" s="16">
        <v>0.38940000000000002</v>
      </c>
      <c r="P8" s="16">
        <v>0.38950000000000001</v>
      </c>
      <c r="Q8" s="16">
        <v>0.38950000000000001</v>
      </c>
      <c r="R8" s="16">
        <v>0.3947</v>
      </c>
      <c r="S8" s="16">
        <v>0.38990000000000002</v>
      </c>
      <c r="T8" s="16">
        <v>0.39</v>
      </c>
      <c r="U8" s="16">
        <v>0.38890000000000002</v>
      </c>
      <c r="V8" s="16">
        <v>0.3891</v>
      </c>
      <c r="W8" s="16">
        <v>0.39319999999999999</v>
      </c>
      <c r="X8" s="16">
        <v>0.38950000000000001</v>
      </c>
    </row>
    <row r="9" spans="1:24" x14ac:dyDescent="0.25">
      <c r="B9" s="2" t="s">
        <v>23</v>
      </c>
      <c r="C9" s="16">
        <v>5.1000000000000004E-3</v>
      </c>
      <c r="D9" s="16">
        <v>3.8999999999999998E-3</v>
      </c>
      <c r="E9" s="16">
        <v>3.8999999999999998E-3</v>
      </c>
      <c r="F9" s="16">
        <v>3.8999999999999998E-3</v>
      </c>
      <c r="G9" s="16">
        <v>3.8999999999999998E-3</v>
      </c>
      <c r="H9" s="16">
        <v>3.8999999999999998E-3</v>
      </c>
      <c r="I9" s="16">
        <v>4.0000000000000001E-3</v>
      </c>
      <c r="J9" s="16">
        <v>3.8999999999999998E-3</v>
      </c>
      <c r="K9" s="16">
        <v>4.0000000000000001E-3</v>
      </c>
      <c r="L9" s="16">
        <v>3.8E-3</v>
      </c>
      <c r="N9" s="2" t="s">
        <v>23</v>
      </c>
      <c r="O9" s="16">
        <v>2.4500000000000001E-2</v>
      </c>
      <c r="P9" s="16">
        <v>2.3800000000000002E-2</v>
      </c>
      <c r="Q9" s="16">
        <v>2.3699999999999999E-2</v>
      </c>
      <c r="R9" s="16">
        <v>2.3699999999999999E-2</v>
      </c>
      <c r="S9" s="16">
        <v>2.3800000000000002E-2</v>
      </c>
      <c r="T9" s="16">
        <v>2.3800000000000002E-2</v>
      </c>
      <c r="U9" s="16">
        <v>2.3900000000000001E-2</v>
      </c>
      <c r="V9" s="16">
        <v>2.3800000000000002E-2</v>
      </c>
      <c r="W9" s="16">
        <v>2.3900000000000001E-2</v>
      </c>
      <c r="X9" s="16">
        <v>2.3800000000000002E-2</v>
      </c>
    </row>
    <row r="10" spans="1:24" x14ac:dyDescent="0.25">
      <c r="B10" s="2" t="s">
        <v>24</v>
      </c>
      <c r="C10" s="16">
        <v>7.1999999999999998E-3</v>
      </c>
      <c r="D10" s="16">
        <v>6.6E-3</v>
      </c>
      <c r="E10" s="16">
        <v>5.7999999999999996E-3</v>
      </c>
      <c r="F10" s="16">
        <v>5.7000000000000002E-3</v>
      </c>
      <c r="G10" s="16">
        <v>5.7999999999999996E-3</v>
      </c>
      <c r="H10" s="16">
        <v>5.7000000000000002E-3</v>
      </c>
      <c r="I10" s="16">
        <v>5.7000000000000002E-3</v>
      </c>
      <c r="J10" s="16">
        <v>5.7999999999999996E-3</v>
      </c>
      <c r="K10" s="16">
        <v>5.7000000000000002E-3</v>
      </c>
      <c r="L10" s="16">
        <v>5.7000000000000002E-3</v>
      </c>
      <c r="N10" s="2" t="s">
        <v>24</v>
      </c>
      <c r="O10" s="16">
        <v>0.14419999999999999</v>
      </c>
      <c r="P10" s="16">
        <v>0.14249999999999999</v>
      </c>
      <c r="Q10" s="16">
        <v>0.14219999999999999</v>
      </c>
      <c r="R10" s="16">
        <v>0.1421</v>
      </c>
      <c r="S10" s="16">
        <v>0.1421</v>
      </c>
      <c r="T10" s="16">
        <v>0.14199999999999999</v>
      </c>
      <c r="U10" s="16">
        <v>0.14729999999999999</v>
      </c>
      <c r="V10" s="16">
        <v>0.14829999999999999</v>
      </c>
      <c r="W10" s="16">
        <v>0.14199999999999999</v>
      </c>
      <c r="X10" s="16">
        <v>0.1421</v>
      </c>
    </row>
    <row r="11" spans="1:24" x14ac:dyDescent="0.25">
      <c r="B11" s="2" t="s">
        <v>25</v>
      </c>
      <c r="C11" s="17">
        <v>4.4999999999999997E-3</v>
      </c>
      <c r="D11" s="16">
        <v>3.5000000000000001E-3</v>
      </c>
      <c r="E11" s="16">
        <v>4.1999999999999997E-3</v>
      </c>
      <c r="F11" s="16">
        <v>3.7000000000000002E-3</v>
      </c>
      <c r="G11" s="16">
        <v>3.3999999999999998E-3</v>
      </c>
      <c r="H11" s="16">
        <v>3.5999999999999999E-3</v>
      </c>
      <c r="I11" s="16">
        <v>3.3999999999999998E-3</v>
      </c>
      <c r="J11" s="16">
        <v>4.1999999999999997E-3</v>
      </c>
      <c r="K11" s="16">
        <v>6.1000000000000004E-3</v>
      </c>
      <c r="L11" s="16">
        <v>5.4999999999999997E-3</v>
      </c>
      <c r="N11" s="2" t="s">
        <v>25</v>
      </c>
      <c r="O11" s="17">
        <v>2.5600000000000001E-2</v>
      </c>
      <c r="P11" s="16">
        <v>2.23E-2</v>
      </c>
      <c r="Q11" s="16">
        <v>2.1399999999999999E-2</v>
      </c>
      <c r="R11" s="16">
        <v>2.1100000000000001E-2</v>
      </c>
      <c r="S11" s="16">
        <v>2.0899999999999998E-2</v>
      </c>
      <c r="T11" s="16">
        <v>2.0500000000000001E-2</v>
      </c>
      <c r="U11" s="16">
        <v>0.02</v>
      </c>
      <c r="V11" s="16">
        <v>2.0400000000000001E-2</v>
      </c>
      <c r="W11" s="16">
        <v>2.0799999999999999E-2</v>
      </c>
      <c r="X11" s="16">
        <v>2.1000000000000001E-2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8" t="s">
        <v>1</v>
      </c>
      <c r="C14" s="10" t="s">
        <v>16</v>
      </c>
      <c r="D14" s="11"/>
      <c r="E14" s="11"/>
      <c r="F14" s="11"/>
      <c r="G14" s="11"/>
      <c r="H14" s="11"/>
      <c r="I14" s="11"/>
      <c r="J14" s="11"/>
      <c r="K14" s="11"/>
      <c r="L14" s="12"/>
      <c r="N14" s="8" t="s">
        <v>1</v>
      </c>
      <c r="O14" s="10" t="s">
        <v>16</v>
      </c>
      <c r="P14" s="11"/>
      <c r="Q14" s="11"/>
      <c r="R14" s="11"/>
      <c r="S14" s="11"/>
      <c r="T14" s="11"/>
      <c r="U14" s="11"/>
      <c r="V14" s="11"/>
      <c r="W14" s="11"/>
      <c r="X14" s="12"/>
    </row>
    <row r="15" spans="1:24" x14ac:dyDescent="0.25">
      <c r="B15" s="9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9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16">
        <v>1.0750999999999999</v>
      </c>
      <c r="D16" s="16">
        <v>0.99370000000000003</v>
      </c>
      <c r="E16" s="16">
        <v>0.97160000000000002</v>
      </c>
      <c r="F16" s="16">
        <v>0.98199999999999998</v>
      </c>
      <c r="G16" s="16">
        <v>0.9718</v>
      </c>
      <c r="H16" s="16">
        <v>0.97619999999999996</v>
      </c>
      <c r="I16" s="16">
        <v>0.97540000000000004</v>
      </c>
      <c r="J16" s="16">
        <v>0.9829</v>
      </c>
      <c r="K16" s="16">
        <v>0.97019999999999995</v>
      </c>
      <c r="L16" s="16">
        <v>0.99550000000000005</v>
      </c>
      <c r="N16" s="2" t="s">
        <v>20</v>
      </c>
      <c r="O16" s="16">
        <v>24.840299999999999</v>
      </c>
      <c r="P16" s="16">
        <v>24.508500000000002</v>
      </c>
      <c r="Q16" s="16">
        <v>24.6541</v>
      </c>
      <c r="R16" s="16">
        <v>24.295100000000001</v>
      </c>
      <c r="S16" s="16">
        <v>24.7681</v>
      </c>
      <c r="T16" s="16">
        <v>24.515899999999998</v>
      </c>
      <c r="U16" s="16">
        <v>23.835899999999999</v>
      </c>
      <c r="V16" s="16">
        <v>24.336400000000001</v>
      </c>
      <c r="W16" s="16">
        <v>24.5289</v>
      </c>
      <c r="X16" s="16">
        <v>23.666699999999999</v>
      </c>
    </row>
    <row r="17" spans="2:24" x14ac:dyDescent="0.25">
      <c r="B17" s="2" t="s">
        <v>21</v>
      </c>
      <c r="C17" s="16">
        <v>0.72299999999999998</v>
      </c>
      <c r="D17" s="16">
        <v>0.72360000000000002</v>
      </c>
      <c r="E17" s="16">
        <v>0.72740000000000005</v>
      </c>
      <c r="F17" s="16">
        <v>0.72340000000000004</v>
      </c>
      <c r="G17" s="16">
        <v>0.72340000000000004</v>
      </c>
      <c r="H17" s="16">
        <v>0.72629999999999995</v>
      </c>
      <c r="I17" s="16">
        <v>0.72270000000000001</v>
      </c>
      <c r="J17" s="16">
        <v>0.89949999999999997</v>
      </c>
      <c r="K17" s="16">
        <v>0.76639999999999997</v>
      </c>
      <c r="L17" s="16">
        <v>0.74050000000000005</v>
      </c>
      <c r="N17" s="2" t="s">
        <v>21</v>
      </c>
      <c r="O17" s="16">
        <v>16.858899999999998</v>
      </c>
      <c r="P17" s="16">
        <v>17.928100000000001</v>
      </c>
      <c r="Q17" s="16">
        <v>17.011800000000001</v>
      </c>
      <c r="R17" s="16">
        <v>17.098800000000001</v>
      </c>
      <c r="S17" s="16">
        <v>17.081399999999999</v>
      </c>
      <c r="T17" s="16">
        <v>17.333300000000001</v>
      </c>
      <c r="U17" s="16">
        <v>17.135999999999999</v>
      </c>
      <c r="V17" s="16">
        <v>17.391500000000001</v>
      </c>
      <c r="W17" s="16">
        <v>17.0106</v>
      </c>
      <c r="X17" s="16">
        <v>17.516500000000001</v>
      </c>
    </row>
    <row r="18" spans="2:24" x14ac:dyDescent="0.25">
      <c r="B18" s="2" t="s">
        <v>22</v>
      </c>
      <c r="C18" s="16">
        <v>1.5733999999999999</v>
      </c>
      <c r="D18" s="16">
        <v>1.6429</v>
      </c>
      <c r="E18" s="16">
        <v>1.5697000000000001</v>
      </c>
      <c r="F18" s="16">
        <v>1.5553999999999999</v>
      </c>
      <c r="G18" s="16">
        <v>1.5952</v>
      </c>
      <c r="H18" s="16">
        <v>1.5569</v>
      </c>
      <c r="I18" s="16">
        <v>1.5528</v>
      </c>
      <c r="J18" s="16">
        <v>1.5565</v>
      </c>
      <c r="K18" s="16">
        <v>1.6240000000000001</v>
      </c>
      <c r="L18" s="16">
        <v>1.5831999999999999</v>
      </c>
      <c r="N18" s="2" t="s">
        <v>22</v>
      </c>
      <c r="O18" s="16">
        <v>39.5075</v>
      </c>
      <c r="P18" s="16">
        <v>39.857100000000003</v>
      </c>
      <c r="Q18" s="16">
        <v>39.328400000000002</v>
      </c>
      <c r="R18" s="16">
        <v>41.061</v>
      </c>
      <c r="S18" s="16">
        <v>39.5852</v>
      </c>
      <c r="T18" s="16">
        <v>39.423699999999997</v>
      </c>
      <c r="U18" s="16">
        <v>38.983600000000003</v>
      </c>
      <c r="V18" s="16">
        <v>38.880800000000001</v>
      </c>
      <c r="W18" s="16">
        <v>39.415199999999999</v>
      </c>
      <c r="X18" s="16">
        <v>39.238599999999998</v>
      </c>
    </row>
    <row r="19" spans="2:24" x14ac:dyDescent="0.25">
      <c r="B19" s="2" t="s">
        <v>23</v>
      </c>
      <c r="C19" s="16">
        <v>5.16E-2</v>
      </c>
      <c r="D19" s="16">
        <v>5.1400000000000001E-2</v>
      </c>
      <c r="E19" s="16">
        <v>5.1299999999999998E-2</v>
      </c>
      <c r="F19" s="16">
        <v>5.1200000000000002E-2</v>
      </c>
      <c r="G19" s="16">
        <v>5.11E-2</v>
      </c>
      <c r="H19" s="16">
        <v>5.11E-2</v>
      </c>
      <c r="I19" s="16">
        <v>5.1499999999999997E-2</v>
      </c>
      <c r="J19" s="16">
        <v>5.1200000000000002E-2</v>
      </c>
      <c r="K19" s="16">
        <v>5.1200000000000002E-2</v>
      </c>
      <c r="L19" s="16">
        <v>5.1200000000000002E-2</v>
      </c>
      <c r="N19" s="2" t="s">
        <v>23</v>
      </c>
      <c r="O19" s="16">
        <v>0.30109999999999998</v>
      </c>
      <c r="P19" s="16">
        <v>0.29920000000000002</v>
      </c>
      <c r="Q19" s="16">
        <v>0.2984</v>
      </c>
      <c r="R19" s="16">
        <v>0.29849999999999999</v>
      </c>
      <c r="S19" s="16">
        <v>0.30580000000000002</v>
      </c>
      <c r="T19" s="16">
        <v>0.3029</v>
      </c>
      <c r="U19" s="16">
        <v>0.30320000000000003</v>
      </c>
      <c r="V19" s="16">
        <v>0.3034</v>
      </c>
      <c r="W19" s="16">
        <v>0.30259999999999998</v>
      </c>
      <c r="X19" s="16">
        <v>0.30359999999999998</v>
      </c>
    </row>
    <row r="20" spans="2:24" x14ac:dyDescent="0.25">
      <c r="B20" s="2" t="s">
        <v>24</v>
      </c>
      <c r="C20" s="16">
        <v>0.5645</v>
      </c>
      <c r="D20" s="16">
        <v>0.55740000000000001</v>
      </c>
      <c r="E20" s="16">
        <v>0.55689999999999995</v>
      </c>
      <c r="F20" s="16">
        <v>0.55730000000000002</v>
      </c>
      <c r="G20" s="16">
        <v>0.59730000000000005</v>
      </c>
      <c r="H20" s="16">
        <v>0.5575</v>
      </c>
      <c r="I20" s="16">
        <v>0.55720000000000003</v>
      </c>
      <c r="J20" s="16">
        <v>0.56169999999999998</v>
      </c>
      <c r="K20" s="16">
        <v>0.5575</v>
      </c>
      <c r="L20" s="16">
        <v>0.57669999999999999</v>
      </c>
      <c r="N20" s="2" t="s">
        <v>24</v>
      </c>
      <c r="O20" s="16">
        <v>13.8203</v>
      </c>
      <c r="P20" s="16">
        <v>13.972</v>
      </c>
      <c r="Q20" s="16">
        <v>13.481999999999999</v>
      </c>
      <c r="R20" s="16">
        <v>13.954800000000001</v>
      </c>
      <c r="S20" s="16">
        <v>13.725099999999999</v>
      </c>
      <c r="T20" s="16">
        <v>13.9758</v>
      </c>
      <c r="U20" s="16">
        <v>13.8742</v>
      </c>
      <c r="V20" s="16">
        <v>13.9161</v>
      </c>
      <c r="W20" s="16">
        <v>13.9131</v>
      </c>
      <c r="X20" s="16">
        <v>13.7484</v>
      </c>
    </row>
    <row r="21" spans="2:24" x14ac:dyDescent="0.25">
      <c r="B21" s="2" t="s">
        <v>25</v>
      </c>
      <c r="C21" s="17">
        <v>4.8099999999999997E-2</v>
      </c>
      <c r="D21" s="16">
        <v>4.2999999999999997E-2</v>
      </c>
      <c r="E21" s="16">
        <v>4.4900000000000002E-2</v>
      </c>
      <c r="F21" s="16">
        <v>4.2500000000000003E-2</v>
      </c>
      <c r="G21" s="16">
        <v>4.2000000000000003E-2</v>
      </c>
      <c r="H21" s="16">
        <v>4.4499999999999998E-2</v>
      </c>
      <c r="I21" s="16">
        <v>4.3999999999999997E-2</v>
      </c>
      <c r="J21" s="16">
        <v>4.2599999999999999E-2</v>
      </c>
      <c r="K21" s="16">
        <v>4.2200000000000001E-2</v>
      </c>
      <c r="L21" s="16">
        <v>4.19E-2</v>
      </c>
      <c r="N21" s="2" t="s">
        <v>25</v>
      </c>
      <c r="O21" s="17">
        <v>0.26519999999999999</v>
      </c>
      <c r="P21" s="16">
        <v>0.25779999999999997</v>
      </c>
      <c r="Q21" s="16">
        <v>0.36549999999999999</v>
      </c>
      <c r="R21" s="16">
        <v>0.33410000000000001</v>
      </c>
      <c r="S21" s="16">
        <v>0.25269999999999998</v>
      </c>
      <c r="T21" s="16">
        <v>0.2717</v>
      </c>
      <c r="U21" s="16">
        <v>0.26079999999999998</v>
      </c>
      <c r="V21" s="16">
        <v>0.27939999999999998</v>
      </c>
      <c r="W21" s="16">
        <v>0.26889999999999997</v>
      </c>
      <c r="X21" s="16">
        <v>0.2616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8" t="s">
        <v>1</v>
      </c>
      <c r="C24" s="10" t="s">
        <v>16</v>
      </c>
      <c r="D24" s="11"/>
      <c r="E24" s="11"/>
      <c r="F24" s="11"/>
      <c r="G24" s="11"/>
      <c r="H24" s="11"/>
      <c r="I24" s="11"/>
      <c r="J24" s="11"/>
      <c r="K24" s="11"/>
      <c r="L24" s="12"/>
      <c r="N24" s="8" t="s">
        <v>1</v>
      </c>
      <c r="O24" s="10" t="s">
        <v>16</v>
      </c>
      <c r="P24" s="11"/>
      <c r="Q24" s="11"/>
      <c r="R24" s="11"/>
      <c r="S24" s="11"/>
      <c r="T24" s="11"/>
      <c r="U24" s="11"/>
      <c r="V24" s="11"/>
      <c r="W24" s="11"/>
      <c r="X24" s="12"/>
    </row>
    <row r="25" spans="2:24" x14ac:dyDescent="0.25">
      <c r="B25" s="9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9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16">
        <v>97.5488</v>
      </c>
      <c r="D26" s="16">
        <v>98.369799999999998</v>
      </c>
      <c r="E26" s="16">
        <v>99.552800000000005</v>
      </c>
      <c r="F26" s="16">
        <v>99.213399999999993</v>
      </c>
      <c r="G26" s="16">
        <v>98.655199999999994</v>
      </c>
      <c r="H26" s="16">
        <v>99.038399999999996</v>
      </c>
      <c r="I26" s="16">
        <v>97.869500000000002</v>
      </c>
      <c r="J26" s="16">
        <v>106.6422</v>
      </c>
      <c r="K26" s="16">
        <v>106.8325</v>
      </c>
      <c r="L26" s="16">
        <v>97.520399999999995</v>
      </c>
      <c r="N26" s="2" t="s">
        <v>20</v>
      </c>
      <c r="O26" s="16">
        <v>2541.7563</v>
      </c>
      <c r="P26" s="16">
        <v>2439.4488000000001</v>
      </c>
      <c r="Q26" s="16">
        <v>2473.8420999999998</v>
      </c>
      <c r="R26" s="16">
        <v>2467.9744999999998</v>
      </c>
      <c r="S26" s="16">
        <v>2440.3240000000001</v>
      </c>
      <c r="T26" s="16">
        <v>2480.4919</v>
      </c>
      <c r="U26" s="16">
        <v>2534.1064000000001</v>
      </c>
      <c r="V26" s="16">
        <v>2492.3797</v>
      </c>
      <c r="W26" s="16">
        <v>2451.6749</v>
      </c>
      <c r="X26" s="16">
        <v>2443.8258999999998</v>
      </c>
    </row>
    <row r="27" spans="2:24" x14ac:dyDescent="0.25">
      <c r="B27" s="2" t="s">
        <v>21</v>
      </c>
      <c r="C27" s="16">
        <v>68.721800000000002</v>
      </c>
      <c r="D27" s="16">
        <v>70.764300000000006</v>
      </c>
      <c r="E27" s="16">
        <v>69.231700000000004</v>
      </c>
      <c r="F27" s="16">
        <v>69.771900000000002</v>
      </c>
      <c r="G27" s="16">
        <v>68.707700000000003</v>
      </c>
      <c r="H27" s="16">
        <v>70.793000000000006</v>
      </c>
      <c r="I27" s="16">
        <v>70.539599999999993</v>
      </c>
      <c r="J27" s="16">
        <v>69.965999999999994</v>
      </c>
      <c r="K27" s="16">
        <v>68.951700000000002</v>
      </c>
      <c r="L27" s="16">
        <v>68.124499999999998</v>
      </c>
      <c r="N27" s="2" t="s">
        <v>21</v>
      </c>
      <c r="O27" s="16">
        <v>1706.2204999999999</v>
      </c>
      <c r="P27" s="16">
        <v>1722.7882</v>
      </c>
      <c r="Q27" s="16">
        <v>1716.2449999999999</v>
      </c>
      <c r="R27" s="16">
        <v>1735.9366</v>
      </c>
      <c r="S27" s="16">
        <v>1808.3788999999999</v>
      </c>
      <c r="T27" s="16">
        <v>1739.9007999999999</v>
      </c>
      <c r="U27" s="16">
        <v>1779.6002000000001</v>
      </c>
      <c r="V27" s="16">
        <v>1821.173</v>
      </c>
      <c r="W27" s="16">
        <v>1775.1714999999999</v>
      </c>
      <c r="X27" s="16">
        <v>1737.0802000000001</v>
      </c>
    </row>
    <row r="28" spans="2:24" x14ac:dyDescent="0.25">
      <c r="B28" s="2" t="s">
        <v>22</v>
      </c>
      <c r="C28" s="16">
        <v>155.63669999999999</v>
      </c>
      <c r="D28" s="16">
        <v>158.48089999999999</v>
      </c>
      <c r="E28" s="16">
        <v>158.53970000000001</v>
      </c>
      <c r="F28" s="16">
        <v>156.80080000000001</v>
      </c>
      <c r="G28" s="16">
        <v>156.71109999999999</v>
      </c>
      <c r="H28" s="16">
        <v>156.67519999999999</v>
      </c>
      <c r="I28" s="16">
        <v>156.8115</v>
      </c>
      <c r="J28" s="16">
        <v>155.8948</v>
      </c>
      <c r="K28" s="16">
        <v>157.71350000000001</v>
      </c>
      <c r="L28" s="16">
        <v>173.56290000000001</v>
      </c>
      <c r="N28" s="2" t="s">
        <v>22</v>
      </c>
      <c r="O28" s="16">
        <v>3981.8562999999999</v>
      </c>
      <c r="P28" s="16">
        <v>4099.4161999999997</v>
      </c>
      <c r="Q28" s="16">
        <v>4157.1232</v>
      </c>
      <c r="R28" s="16">
        <v>3990.9665</v>
      </c>
      <c r="S28" s="16">
        <v>3977.2503999999999</v>
      </c>
      <c r="T28" s="16">
        <v>4131.8361999999997</v>
      </c>
      <c r="U28" s="16">
        <v>3977.6208999999999</v>
      </c>
      <c r="V28" s="16">
        <v>4035.7348000000002</v>
      </c>
      <c r="W28" s="16">
        <v>4038.6617000000001</v>
      </c>
      <c r="X28" s="16">
        <v>4191.5901000000003</v>
      </c>
    </row>
    <row r="29" spans="2:24" x14ac:dyDescent="0.25">
      <c r="B29" s="2" t="s">
        <v>23</v>
      </c>
      <c r="C29" s="16">
        <v>0.69189999999999996</v>
      </c>
      <c r="D29" s="16">
        <v>0.64080000000000004</v>
      </c>
      <c r="E29" s="16">
        <v>0.6361</v>
      </c>
      <c r="F29" s="16">
        <v>0.64139999999999997</v>
      </c>
      <c r="G29" s="16">
        <v>0.66100000000000003</v>
      </c>
      <c r="H29" s="16">
        <v>0.63470000000000004</v>
      </c>
      <c r="I29" s="16">
        <v>0.70350000000000001</v>
      </c>
      <c r="J29" s="16">
        <v>0.67949999999999999</v>
      </c>
      <c r="K29" s="16">
        <v>0.6794</v>
      </c>
      <c r="L29" s="16">
        <v>0.6794</v>
      </c>
      <c r="N29" s="2" t="s">
        <v>23</v>
      </c>
      <c r="O29" s="16">
        <v>3.7126999999999999</v>
      </c>
      <c r="P29" s="16">
        <v>3.8384</v>
      </c>
      <c r="Q29" s="16">
        <v>3.323</v>
      </c>
      <c r="R29" s="16">
        <v>3.7961999999999998</v>
      </c>
      <c r="S29" s="16">
        <v>3.7214</v>
      </c>
      <c r="T29" s="16">
        <v>3.6259000000000001</v>
      </c>
      <c r="U29" s="16">
        <v>3.9177</v>
      </c>
      <c r="V29" s="16">
        <v>3.6977000000000002</v>
      </c>
      <c r="W29" s="16">
        <v>3.7311999999999999</v>
      </c>
      <c r="X29" s="16">
        <v>3.9571999999999998</v>
      </c>
    </row>
    <row r="30" spans="2:24" x14ac:dyDescent="0.25">
      <c r="B30" s="2" t="s">
        <v>24</v>
      </c>
      <c r="C30" s="16">
        <v>55.2896</v>
      </c>
      <c r="D30" s="16">
        <v>55.613799999999998</v>
      </c>
      <c r="E30" s="16">
        <v>55.098100000000002</v>
      </c>
      <c r="F30" s="16">
        <v>56.133600000000001</v>
      </c>
      <c r="G30" s="16">
        <v>54.2136</v>
      </c>
      <c r="H30" s="16">
        <v>53.503</v>
      </c>
      <c r="I30" s="16">
        <v>54.895299999999999</v>
      </c>
      <c r="J30" s="16">
        <v>55.783099999999997</v>
      </c>
      <c r="K30" s="16">
        <v>54.336799999999997</v>
      </c>
      <c r="L30" s="16">
        <v>57.464700000000001</v>
      </c>
      <c r="N30" s="2" t="s">
        <v>24</v>
      </c>
      <c r="O30" s="16">
        <v>1364.704</v>
      </c>
      <c r="P30" s="16">
        <v>1377.2192</v>
      </c>
      <c r="Q30" s="16">
        <v>1443.9293</v>
      </c>
      <c r="R30" s="16">
        <v>1437.0853999999999</v>
      </c>
      <c r="S30" s="16">
        <v>1355.6685</v>
      </c>
      <c r="T30" s="16">
        <v>1360.4951000000001</v>
      </c>
      <c r="U30" s="16">
        <v>1347.2732000000001</v>
      </c>
      <c r="V30" s="16">
        <v>1343.4028000000001</v>
      </c>
      <c r="W30" s="16">
        <v>1475.0553</v>
      </c>
      <c r="X30" s="16">
        <v>1353.5811000000001</v>
      </c>
    </row>
    <row r="31" spans="2:24" x14ac:dyDescent="0.25">
      <c r="B31" s="2" t="s">
        <v>25</v>
      </c>
      <c r="C31" s="17">
        <v>0.50380000000000003</v>
      </c>
      <c r="D31" s="16">
        <v>0.56520000000000004</v>
      </c>
      <c r="E31" s="16">
        <v>0.5272</v>
      </c>
      <c r="F31" s="16">
        <v>0.51649999999999996</v>
      </c>
      <c r="G31" s="16">
        <v>0.64090000000000003</v>
      </c>
      <c r="H31" s="16">
        <v>0.49530000000000002</v>
      </c>
      <c r="I31" s="16">
        <v>0.48920000000000002</v>
      </c>
      <c r="J31" s="16">
        <v>0.54569999999999996</v>
      </c>
      <c r="K31" s="16">
        <v>0.503</v>
      </c>
      <c r="L31" s="16">
        <v>0.49530000000000002</v>
      </c>
      <c r="N31" s="2" t="s">
        <v>25</v>
      </c>
      <c r="O31" s="17">
        <v>2.6644000000000001</v>
      </c>
      <c r="P31" s="16">
        <v>2.6221999999999999</v>
      </c>
      <c r="Q31" s="16">
        <v>2.6568999999999998</v>
      </c>
      <c r="R31" s="16">
        <v>2.7187000000000001</v>
      </c>
      <c r="S31" s="16">
        <v>2.7444000000000002</v>
      </c>
      <c r="T31" s="16">
        <v>2.6414</v>
      </c>
      <c r="U31" s="16">
        <v>2.6408999999999998</v>
      </c>
      <c r="V31" s="16">
        <v>2.6421000000000001</v>
      </c>
      <c r="W31" s="16">
        <v>2.6478999999999999</v>
      </c>
      <c r="X31" s="16">
        <v>2.7151999999999998</v>
      </c>
    </row>
    <row r="34" spans="2:8" x14ac:dyDescent="0.25">
      <c r="B34" s="8" t="s">
        <v>1</v>
      </c>
      <c r="C34" s="15" t="s">
        <v>26</v>
      </c>
      <c r="D34" s="11"/>
      <c r="E34" s="11"/>
      <c r="F34" s="11"/>
      <c r="G34" s="11"/>
      <c r="H34" s="12"/>
    </row>
    <row r="35" spans="2:8" x14ac:dyDescent="0.25">
      <c r="B35" s="9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8" x14ac:dyDescent="0.25">
      <c r="B36" s="2" t="s">
        <v>20</v>
      </c>
      <c r="C36" s="16">
        <f t="shared" ref="C36:C41" si="0">IF(COUNTBLANK(C6:L6)&gt;0,"undone",AVERAGE(C6:L6))</f>
        <v>9.9400000000000009E-3</v>
      </c>
      <c r="D36" s="16">
        <f t="shared" ref="D36:D41" si="1">IF(COUNTBLANK(O6:X6)&gt;0,"undone",AVERAGE(O6:X6))</f>
        <v>0.25718000000000002</v>
      </c>
      <c r="E36" s="16">
        <f t="shared" ref="E36:E41" si="2">IF(COUNTBLANK(C16:L16)&gt;0,"undone",AVERAGE(C16:L16))</f>
        <v>0.98943999999999988</v>
      </c>
      <c r="F36" s="16">
        <f t="shared" ref="F36:F41" si="3">IF(COUNTBLANK(O16:X16)&gt;0,"undone",AVERAGE(O16:X16))</f>
        <v>24.39499</v>
      </c>
      <c r="G36" s="16">
        <f t="shared" ref="G36:G41" si="4">IF(COUNTBLANK(C26:L26)&gt;0,"undone",AVERAGE(C26:L26))</f>
        <v>100.12429999999999</v>
      </c>
      <c r="H36" s="16">
        <f t="shared" ref="H36:H41" si="5">IF(COUNTBLANK(O26:X26)&gt;0,"undone",AVERAGE(O26:X26))</f>
        <v>2476.5824499999999</v>
      </c>
    </row>
    <row r="37" spans="2:8" x14ac:dyDescent="0.25">
      <c r="B37" s="2" t="s">
        <v>21</v>
      </c>
      <c r="C37" s="16">
        <f t="shared" si="0"/>
        <v>7.5899999999999995E-3</v>
      </c>
      <c r="D37" s="16">
        <f t="shared" si="1"/>
        <v>0.18755999999999998</v>
      </c>
      <c r="E37" s="16">
        <f t="shared" si="2"/>
        <v>0.74761999999999995</v>
      </c>
      <c r="F37" s="16">
        <f t="shared" si="3"/>
        <v>17.236690000000003</v>
      </c>
      <c r="G37" s="16">
        <f t="shared" si="4"/>
        <v>69.557220000000001</v>
      </c>
      <c r="H37" s="16">
        <f t="shared" si="5"/>
        <v>1754.2494900000002</v>
      </c>
    </row>
    <row r="38" spans="2:8" x14ac:dyDescent="0.25">
      <c r="B38" s="2" t="s">
        <v>22</v>
      </c>
      <c r="C38" s="16">
        <f t="shared" si="0"/>
        <v>1.7080000000000001E-2</v>
      </c>
      <c r="D38" s="16">
        <f t="shared" si="1"/>
        <v>0.39037000000000005</v>
      </c>
      <c r="E38" s="16">
        <f t="shared" si="2"/>
        <v>1.581</v>
      </c>
      <c r="F38" s="16">
        <f t="shared" si="3"/>
        <v>39.528110000000005</v>
      </c>
      <c r="G38" s="16">
        <f t="shared" si="4"/>
        <v>158.68270999999999</v>
      </c>
      <c r="H38" s="16">
        <f t="shared" si="5"/>
        <v>4058.2056299999995</v>
      </c>
    </row>
    <row r="39" spans="2:8" x14ac:dyDescent="0.25">
      <c r="B39" s="2" t="s">
        <v>23</v>
      </c>
      <c r="C39" s="16">
        <f t="shared" si="0"/>
        <v>4.0300000000000006E-3</v>
      </c>
      <c r="D39" s="16">
        <f t="shared" si="1"/>
        <v>2.3870000000000002E-2</v>
      </c>
      <c r="E39" s="16">
        <f t="shared" si="2"/>
        <v>5.1280000000000006E-2</v>
      </c>
      <c r="F39" s="16">
        <f t="shared" si="3"/>
        <v>0.30186999999999997</v>
      </c>
      <c r="G39" s="16">
        <f t="shared" si="4"/>
        <v>0.66477000000000008</v>
      </c>
      <c r="H39" s="16">
        <f t="shared" si="5"/>
        <v>3.7321400000000002</v>
      </c>
    </row>
    <row r="40" spans="2:8" x14ac:dyDescent="0.25">
      <c r="B40" s="2" t="s">
        <v>24</v>
      </c>
      <c r="C40" s="16">
        <f t="shared" si="0"/>
        <v>5.9699999999999987E-3</v>
      </c>
      <c r="D40" s="16">
        <f t="shared" si="1"/>
        <v>0.14348</v>
      </c>
      <c r="E40" s="16">
        <f t="shared" si="2"/>
        <v>0.56440000000000001</v>
      </c>
      <c r="F40" s="16">
        <f t="shared" si="3"/>
        <v>13.838179999999999</v>
      </c>
      <c r="G40" s="16">
        <f t="shared" si="4"/>
        <v>55.233159999999998</v>
      </c>
      <c r="H40" s="16">
        <f t="shared" si="5"/>
        <v>1385.84139</v>
      </c>
    </row>
    <row r="41" spans="2:8" x14ac:dyDescent="0.25">
      <c r="B41" s="2" t="s">
        <v>25</v>
      </c>
      <c r="C41" s="16">
        <f t="shared" si="0"/>
        <v>4.2099999999999993E-3</v>
      </c>
      <c r="D41" s="16">
        <f t="shared" si="1"/>
        <v>2.1399999999999999E-2</v>
      </c>
      <c r="E41" s="16">
        <f t="shared" si="2"/>
        <v>4.3570000000000005E-2</v>
      </c>
      <c r="F41" s="16">
        <f t="shared" si="3"/>
        <v>0.28176999999999996</v>
      </c>
      <c r="G41" s="16">
        <f t="shared" si="4"/>
        <v>0.52821000000000007</v>
      </c>
      <c r="H41" s="16">
        <f t="shared" si="5"/>
        <v>2.6694100000000001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B1"/>
  <sheetViews>
    <sheetView zoomScaleNormal="100" workbookViewId="0">
      <selection activeCell="B6" sqref="B6:B11"/>
    </sheetView>
  </sheetViews>
  <sheetFormatPr defaultRowHeight="13.8" x14ac:dyDescent="0.25"/>
  <sheetData>
    <row r="1" spans="1:2" x14ac:dyDescent="0.25">
      <c r="A1" s="7" t="s">
        <v>19</v>
      </c>
      <c r="B1" s="7"/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2026-09-03T13:55:57Z</dcterms:modified>
</cp:coreProperties>
</file>