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21DFC4B1-1C9D-4B44-8406-5BD109FC5B89}" xr6:coauthVersionLast="47" xr6:coauthVersionMax="47" xr10:uidLastSave="{00000000-0000-0000-0000-000000000000}"/>
  <bookViews>
    <workbookView xWindow="-108" yWindow="-108" windowWidth="23256" windowHeight="12456" activeTab="3" xr2:uid="{D32EC7AF-07E4-482F-A8FA-A097486C4469}"/>
  </bookViews>
  <sheets>
    <sheet name="Random" sheetId="1" r:id="rId1"/>
    <sheet name="random_grpah" sheetId="5" r:id="rId2"/>
    <sheet name="Sorted" sheetId="2" r:id="rId3"/>
    <sheet name="sorted_grpah " sheetId="8" r:id="rId4"/>
    <sheet name="Rev-Sorted" sheetId="3" r:id="rId5"/>
    <sheet name="rev_sorted_grpah 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7" i="3" l="1"/>
  <c r="G37" i="3"/>
  <c r="F37" i="3"/>
  <c r="E37" i="3"/>
  <c r="D37" i="3"/>
  <c r="C37" i="3"/>
  <c r="H36" i="3"/>
  <c r="G36" i="3"/>
  <c r="F36" i="3"/>
  <c r="E36" i="3"/>
  <c r="D36" i="3"/>
  <c r="C36" i="3"/>
  <c r="H35" i="3"/>
  <c r="G35" i="3"/>
  <c r="F35" i="3"/>
  <c r="E35" i="3"/>
  <c r="D35" i="3"/>
  <c r="C35" i="3"/>
  <c r="H34" i="3"/>
  <c r="G34" i="3"/>
  <c r="F34" i="3"/>
  <c r="E34" i="3"/>
  <c r="D34" i="3"/>
  <c r="C34" i="3"/>
  <c r="H33" i="3"/>
  <c r="G33" i="3"/>
  <c r="F33" i="3"/>
  <c r="E33" i="3"/>
  <c r="D33" i="3"/>
  <c r="C33" i="3"/>
  <c r="O21" i="3"/>
  <c r="C21" i="3"/>
  <c r="O12" i="3"/>
  <c r="C12" i="3"/>
  <c r="O3" i="3"/>
  <c r="C3" i="3"/>
  <c r="H37" i="2"/>
  <c r="G37" i="2"/>
  <c r="F37" i="2"/>
  <c r="E37" i="2"/>
  <c r="D37" i="2"/>
  <c r="C37" i="2"/>
  <c r="H36" i="2"/>
  <c r="G36" i="2"/>
  <c r="F36" i="2"/>
  <c r="E36" i="2"/>
  <c r="D36" i="2"/>
  <c r="C36" i="2"/>
  <c r="H35" i="2"/>
  <c r="G35" i="2"/>
  <c r="F35" i="2"/>
  <c r="E35" i="2"/>
  <c r="D35" i="2"/>
  <c r="C35" i="2"/>
  <c r="H34" i="2"/>
  <c r="G34" i="2"/>
  <c r="F34" i="2"/>
  <c r="E34" i="2"/>
  <c r="D34" i="2"/>
  <c r="C34" i="2"/>
  <c r="H33" i="2"/>
  <c r="G33" i="2"/>
  <c r="F33" i="2"/>
  <c r="E33" i="2"/>
  <c r="D33" i="2"/>
  <c r="C33" i="2"/>
  <c r="O21" i="2"/>
  <c r="C21" i="2"/>
  <c r="O12" i="2"/>
  <c r="C12" i="2"/>
  <c r="O3" i="2"/>
  <c r="C3" i="2"/>
  <c r="H37" i="1"/>
  <c r="G37" i="1"/>
  <c r="F37" i="1"/>
  <c r="E37" i="1"/>
  <c r="D37" i="1"/>
  <c r="C37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O21" i="1"/>
  <c r="C21" i="1"/>
  <c r="O12" i="1"/>
  <c r="C12" i="1"/>
  <c r="O3" i="1"/>
  <c r="C3" i="1"/>
</calcChain>
</file>

<file path=xl/sharedStrings.xml><?xml version="1.0" encoding="utf-8"?>
<sst xmlns="http://schemas.openxmlformats.org/spreadsheetml/2006/main" count="353" uniqueCount="27">
  <si>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</si>
  <si>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</si>
  <si>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</si>
  <si>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</si>
  <si>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</si>
  <si>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</si>
  <si>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</si>
  <si>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</si>
  <si>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</si>
  <si>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</si>
  <si>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</si>
  <si>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</si>
  <si>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Selection</t>
  </si>
  <si>
    <t>Bubble</t>
  </si>
  <si>
    <t>Insertion</t>
  </si>
  <si>
    <t>Merge</t>
  </si>
  <si>
    <t>Quick</t>
  </si>
  <si>
    <t>Avg time</t>
  </si>
  <si>
    <t>Run time</t>
  </si>
  <si>
    <t>Input size =</t>
  </si>
  <si>
    <t>Rev-Sorted</t>
  </si>
  <si>
    <t>Sorted</t>
  </si>
  <si>
    <t>Avg case</t>
  </si>
  <si>
    <t>dsaasdasd</t>
  </si>
  <si>
    <t>worst case</t>
  </si>
  <si>
    <t>best case</t>
  </si>
  <si>
    <t>Run time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</si>
</sst>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Random!$E$32:$H$32</c:f>
              <c:numCache>
                <c:formatCode>General</c:formatCode>
                <c:ptCount val="4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</c:numCache>
            </c:numRef>
          </c:xVal>
          <c:yVal>
            <c:numRef>
              <c:f>Random!$C$33:$H$33</c:f>
              <c:numCache>
                <c:formatCode>General</c:formatCode>
                <c:ptCount val="6"/>
                <c:pt idx="0">
                  <c:v>3.4100000000000007E-3</c:v>
                </c:pt>
                <c:pt idx="1">
                  <c:v>9.7070000000000017E-2</c:v>
                </c:pt>
                <c:pt idx="2">
                  <c:v>0.36215000000000003</c:v>
                </c:pt>
                <c:pt idx="3">
                  <c:v>9.0675799999999995</c:v>
                </c:pt>
                <c:pt idx="4">
                  <c:v>35.300449999999998</c:v>
                </c:pt>
                <c:pt idx="5">
                  <c:v>898.78161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CA-4014-A5CE-2BA64AE44A88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Random!$E$32:$H$32</c:f>
              <c:numCache>
                <c:formatCode>General</c:formatCode>
                <c:ptCount val="4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</c:numCache>
            </c:numRef>
          </c:xVal>
          <c:yVal>
            <c:numRef>
              <c:f>Random!$C$34:$H$34</c:f>
              <c:numCache>
                <c:formatCode>General</c:formatCode>
                <c:ptCount val="6"/>
                <c:pt idx="0">
                  <c:v>5.1600000000000005E-3</c:v>
                </c:pt>
                <c:pt idx="1">
                  <c:v>0.1351</c:v>
                </c:pt>
                <c:pt idx="2">
                  <c:v>0.4676499999999999</c:v>
                </c:pt>
                <c:pt idx="3">
                  <c:v>11.12998</c:v>
                </c:pt>
                <c:pt idx="4">
                  <c:v>45.611530000000002</c:v>
                </c:pt>
                <c:pt idx="5">
                  <c:v>1144.4044900000001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A-4014-A5CE-2BA64AE44A88}"/>
            </c:ext>
          </c:extLst>
        </c:ser>
        <c:ser>
          <c:idx val="2"/>
          <c:order val="2"/>
          <c:tx>
            <c:v>bubble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Random!$E$32:$H$32</c:f>
              <c:numCache>
                <c:formatCode>General</c:formatCode>
                <c:ptCount val="4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</c:numCache>
            </c:numRef>
          </c:xVal>
          <c:yVal>
            <c:numRef>
              <c:f>Random!$C$35:$H$35</c:f>
              <c:numCache>
                <c:formatCode>General</c:formatCode>
                <c:ptCount val="6"/>
                <c:pt idx="0">
                  <c:v>9.5599999999999973E-3</c:v>
                </c:pt>
                <c:pt idx="1">
                  <c:v>0.26630999999999999</c:v>
                </c:pt>
                <c:pt idx="2">
                  <c:v>1.0637199999999998</c:v>
                </c:pt>
                <c:pt idx="3">
                  <c:v>23.42755</c:v>
                </c:pt>
                <c:pt idx="4">
                  <c:v>95.326180000000008</c:v>
                </c:pt>
                <c:pt idx="5">
                  <c:v>2423.1844000000006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CA-4014-A5CE-2BA64AE44A88}"/>
            </c:ext>
          </c:extLst>
        </c:ser>
        <c:ser>
          <c:idx val="3"/>
          <c:order val="3"/>
          <c:tx>
            <c:v>merge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Random!$E$32:$H$32</c:f>
              <c:numCache>
                <c:formatCode>General</c:formatCode>
                <c:ptCount val="4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</c:numCache>
            </c:numRef>
          </c:xVal>
          <c:yVal>
            <c:numRef>
              <c:f>Random!$C$36:$H$36</c:f>
              <c:numCache>
                <c:formatCode>General</c:formatCode>
                <c:ptCount val="6"/>
                <c:pt idx="0">
                  <c:v>4.1400000000000005E-3</c:v>
                </c:pt>
                <c:pt idx="1">
                  <c:v>2.9650000000000003E-2</c:v>
                </c:pt>
                <c:pt idx="2">
                  <c:v>4.4389999999999999E-2</c:v>
                </c:pt>
                <c:pt idx="3">
                  <c:v>0.34113000000000004</c:v>
                </c:pt>
                <c:pt idx="4">
                  <c:v>0.78540999999999994</c:v>
                </c:pt>
                <c:pt idx="5">
                  <c:v>4.9083600000000001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CCA-4014-A5CE-2BA64AE44A88}"/>
            </c:ext>
          </c:extLst>
        </c:ser>
        <c:ser>
          <c:idx val="4"/>
          <c:order val="4"/>
          <c:tx>
            <c:v>quick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Random!$E$32:$H$32</c:f>
              <c:numCache>
                <c:formatCode>General</c:formatCode>
                <c:ptCount val="4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</c:numCache>
            </c:numRef>
          </c:xVal>
          <c:yVal>
            <c:numRef>
              <c:f>Random!$C$37:$H$37</c:f>
              <c:numCache>
                <c:formatCode>General</c:formatCode>
                <c:ptCount val="6"/>
                <c:pt idx="0">
                  <c:v>1.7799999999999999E-3</c:v>
                </c:pt>
                <c:pt idx="1">
                  <c:v>1.6480000000000002E-2</c:v>
                </c:pt>
                <c:pt idx="2">
                  <c:v>2.5600000000000001E-2</c:v>
                </c:pt>
                <c:pt idx="3">
                  <c:v>0.22132000000000002</c:v>
                </c:pt>
                <c:pt idx="4">
                  <c:v>0.53208999999999995</c:v>
                </c:pt>
                <c:pt idx="5">
                  <c:v>3.3549199999999999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CCA-4014-A5CE-2BA64AE44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868190013482362"/>
          <c:y val="0.27791545793617906"/>
          <c:w val="9.9919923573383126E-2"/>
          <c:h val="0.409542063820969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Sorted!$C$33:$H$33</c:f>
              <c:numCache>
                <c:formatCode>General</c:formatCode>
                <c:ptCount val="6"/>
                <c:pt idx="0">
                  <c:v>1.6000000000000004E-4</c:v>
                </c:pt>
                <c:pt idx="1">
                  <c:v>8.9999999999999998E-4</c:v>
                </c:pt>
                <c:pt idx="2">
                  <c:v>1.82E-3</c:v>
                </c:pt>
                <c:pt idx="3">
                  <c:v>8.4700000000000001E-3</c:v>
                </c:pt>
                <c:pt idx="4">
                  <c:v>1.5960000000000002E-2</c:v>
                </c:pt>
                <c:pt idx="5">
                  <c:v>9.3109999999999998E-2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0B-4458-9FBB-8745893D7C64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Sorted!$C$34:$H$34</c:f>
              <c:numCache>
                <c:formatCode>General</c:formatCode>
                <c:ptCount val="6"/>
                <c:pt idx="0">
                  <c:v>4.7599999999999995E-3</c:v>
                </c:pt>
                <c:pt idx="1">
                  <c:v>0.11173999999999998</c:v>
                </c:pt>
                <c:pt idx="2">
                  <c:v>0.44557000000000002</c:v>
                </c:pt>
                <c:pt idx="3">
                  <c:v>11.415189999999999</c:v>
                </c:pt>
                <c:pt idx="4">
                  <c:v>45.156060000000004</c:v>
                </c:pt>
                <c:pt idx="5">
                  <c:v>1578.6948299999999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0B-4458-9FBB-8745893D7C64}"/>
            </c:ext>
          </c:extLst>
        </c:ser>
        <c:ser>
          <c:idx val="2"/>
          <c:order val="2"/>
          <c:tx>
            <c:v>bubble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Sorted!$C$32:$H$32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Sorted!$C$35:$H$35</c:f>
              <c:numCache>
                <c:formatCode>General</c:formatCode>
                <c:ptCount val="6"/>
                <c:pt idx="0">
                  <c:v>5.9700000000000005E-3</c:v>
                </c:pt>
                <c:pt idx="1">
                  <c:v>0.14710999999999999</c:v>
                </c:pt>
                <c:pt idx="2">
                  <c:v>0.58564000000000005</c:v>
                </c:pt>
                <c:pt idx="3">
                  <c:v>14.953890000000001</c:v>
                </c:pt>
                <c:pt idx="4">
                  <c:v>60.254049999999992</c:v>
                </c:pt>
                <c:pt idx="5">
                  <c:v>1499.0670599999999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0B-4458-9FBB-8745893D7C64}"/>
            </c:ext>
          </c:extLst>
        </c:ser>
        <c:ser>
          <c:idx val="3"/>
          <c:order val="3"/>
          <c:tx>
            <c:v>merge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Sorted!$C$32:$H$32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General</c:formatCode>
                <c:ptCount val="6"/>
                <c:pt idx="0">
                  <c:v>2.9499999999999999E-3</c:v>
                </c:pt>
                <c:pt idx="1">
                  <c:v>1.7470000000000003E-2</c:v>
                </c:pt>
                <c:pt idx="2">
                  <c:v>3.7480000000000006E-2</c:v>
                </c:pt>
                <c:pt idx="3">
                  <c:v>0.21754999999999999</c:v>
                </c:pt>
                <c:pt idx="4">
                  <c:v>0.50645000000000007</c:v>
                </c:pt>
                <c:pt idx="5">
                  <c:v>2.5919500000000002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0B-4458-9FBB-8745893D7C64}"/>
            </c:ext>
          </c:extLst>
        </c:ser>
        <c:ser>
          <c:idx val="4"/>
          <c:order val="4"/>
          <c:tx>
            <c:v>quick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Sorted!$C$32:$H$32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General</c:formatCode>
                <c:ptCount val="6"/>
                <c:pt idx="0">
                  <c:v>5.0699999999999999E-3</c:v>
                </c:pt>
                <c:pt idx="1">
                  <c:v>8.7919999999999984E-2</c:v>
                </c:pt>
                <c:pt idx="2">
                  <c:v>0.43381000000000008</c:v>
                </c:pt>
                <c:pt idx="3">
                  <c:v>9.5659700000000001</c:v>
                </c:pt>
                <c:pt idx="4">
                  <c:v>40.406939999999999</c:v>
                </c:pt>
                <c:pt idx="5">
                  <c:v>1172.0279999999998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0B-4458-9FBB-8745893D7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868190013482362"/>
          <c:y val="0.27791545793617906"/>
          <c:w val="9.9919923573383126E-2"/>
          <c:h val="0.409542063820969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'Rev-Sorted'!$C$33:$H$33</c:f>
              <c:numCache>
                <c:formatCode>General</c:formatCode>
                <c:ptCount val="6"/>
                <c:pt idx="0">
                  <c:v>9.9500000000000005E-3</c:v>
                </c:pt>
                <c:pt idx="1">
                  <c:v>0.24713999999999997</c:v>
                </c:pt>
                <c:pt idx="2">
                  <c:v>0.99377999999999989</c:v>
                </c:pt>
                <c:pt idx="3">
                  <c:v>25.123840000000001</c:v>
                </c:pt>
                <c:pt idx="4">
                  <c:v>100.66342</c:v>
                </c:pt>
                <c:pt idx="5">
                  <c:v>2530.2127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B6-42FF-BAC6-0CE76102BA0F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'Rev-Sorted'!$C$34:$H$34</c:f>
              <c:numCache>
                <c:formatCode>General</c:formatCode>
                <c:ptCount val="6"/>
                <c:pt idx="0">
                  <c:v>7.4400000000000004E-3</c:v>
                </c:pt>
                <c:pt idx="1">
                  <c:v>0.16192999999999996</c:v>
                </c:pt>
                <c:pt idx="2">
                  <c:v>0.68050999999999995</c:v>
                </c:pt>
                <c:pt idx="3">
                  <c:v>17.546299999999995</c:v>
                </c:pt>
                <c:pt idx="4">
                  <c:v>72.064859999999996</c:v>
                </c:pt>
                <c:pt idx="5">
                  <c:v>1814.8987199999999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B6-42FF-BAC6-0CE76102BA0F}"/>
            </c:ext>
          </c:extLst>
        </c:ser>
        <c:ser>
          <c:idx val="2"/>
          <c:order val="2"/>
          <c:tx>
            <c:v>bubble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'Rev-Sorted'!$C$32:$H$32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'Rev-Sorted'!$C$35:$H$35</c:f>
              <c:numCache>
                <c:formatCode>General</c:formatCode>
                <c:ptCount val="6"/>
                <c:pt idx="0">
                  <c:v>1.7569999999999999E-2</c:v>
                </c:pt>
                <c:pt idx="1">
                  <c:v>0.39970999999999995</c:v>
                </c:pt>
                <c:pt idx="2">
                  <c:v>1.72557</c:v>
                </c:pt>
                <c:pt idx="3">
                  <c:v>46.811249999999994</c:v>
                </c:pt>
                <c:pt idx="4">
                  <c:v>181.55905999999999</c:v>
                </c:pt>
                <c:pt idx="5">
                  <c:v>4382.7229299999999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B6-42FF-BAC6-0CE76102BA0F}"/>
            </c:ext>
          </c:extLst>
        </c:ser>
        <c:ser>
          <c:idx val="3"/>
          <c:order val="3"/>
          <c:tx>
            <c:v>merge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'Rev-Sorted'!$C$32:$H$32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General</c:formatCode>
                <c:ptCount val="6"/>
                <c:pt idx="0">
                  <c:v>4.0699999999999998E-3</c:v>
                </c:pt>
                <c:pt idx="1">
                  <c:v>2.051E-2</c:v>
                </c:pt>
                <c:pt idx="2">
                  <c:v>5.4539999999999991E-2</c:v>
                </c:pt>
                <c:pt idx="3">
                  <c:v>0.31284999999999996</c:v>
                </c:pt>
                <c:pt idx="4">
                  <c:v>0.65659000000000001</c:v>
                </c:pt>
                <c:pt idx="5">
                  <c:v>3.8224299999999998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5B6-42FF-BAC6-0CE76102BA0F}"/>
            </c:ext>
          </c:extLst>
        </c:ser>
        <c:ser>
          <c:idx val="4"/>
          <c:order val="4"/>
          <c:tx>
            <c:v>quick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'Rev-Sorted'!$C$32:$H$32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General</c:formatCode>
                <c:ptCount val="6"/>
                <c:pt idx="0">
                  <c:v>6.0499999999999998E-3</c:v>
                </c:pt>
                <c:pt idx="1">
                  <c:v>0.13638999999999996</c:v>
                </c:pt>
                <c:pt idx="2">
                  <c:v>0.53875000000000006</c:v>
                </c:pt>
                <c:pt idx="3">
                  <c:v>13.51234</c:v>
                </c:pt>
                <c:pt idx="4">
                  <c:v>53.08849</c:v>
                </c:pt>
                <c:pt idx="5">
                  <c:v>1304.45454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B6-42FF-BAC6-0CE76102B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868190013482362"/>
          <c:y val="0.27791545793617906"/>
          <c:w val="9.9919923573383126E-2"/>
          <c:h val="0.409542063820969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2</xdr:row>
      <xdr:rowOff>30480</xdr:rowOff>
    </xdr:from>
    <xdr:to>
      <xdr:col>15</xdr:col>
      <xdr:colOff>419100</xdr:colOff>
      <xdr:row>18</xdr:row>
      <xdr:rowOff>121920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50AE422C-3B43-7F12-2009-CDB231956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15</xdr:col>
      <xdr:colOff>640080</xdr:colOff>
      <xdr:row>18</xdr:row>
      <xdr:rowOff>91440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71BE9449-7574-4E24-A50B-7E49FC921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15</xdr:col>
      <xdr:colOff>640080</xdr:colOff>
      <xdr:row>18</xdr:row>
      <xdr:rowOff>91440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DE94E5DB-503D-4B90-9650-48F976006E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37"/>
  <sheetViews>
    <sheetView zoomScale="70" zoomScaleNormal="70" workbookViewId="0">
      <selection activeCell="K34" sqref="K34"/>
    </sheetView>
  </sheetViews>
  <sheetFormatPr defaultRowHeight="13.8" x14ac:dyDescent="0.25"/>
  <cols>
    <col min="1" max="16384" width="8.796875" style="1"/>
  </cols>
  <sheetData>
    <row r="1" spans="1:24" x14ac:dyDescent="0.25">
      <c r="A1" s="8" t="s">
        <v>0</v>
      </c>
      <c r="B1" s="10"/>
    </row>
    <row r="3" spans="1:24" x14ac:dyDescent="0.25">
      <c r="B3" s="4" t="s">
        <v>19</v>
      </c>
      <c r="C3" s="1">
        <f>C32</f>
        <v>100</v>
      </c>
      <c r="N3" s="4" t="s">
        <v>19</v>
      </c>
      <c r="O3" s="1">
        <f>D32</f>
        <v>500</v>
      </c>
    </row>
    <row r="4" spans="1:24" x14ac:dyDescent="0.25">
      <c r="B4" s="6" t="s">
        <v>1</v>
      </c>
      <c r="C4" s="7" t="s">
        <v>26</v>
      </c>
      <c r="D4" s="11"/>
      <c r="E4" s="11"/>
      <c r="F4" s="11"/>
      <c r="G4" s="11"/>
      <c r="H4" s="11"/>
      <c r="I4" s="11"/>
      <c r="J4" s="11"/>
      <c r="K4" s="11"/>
      <c r="L4" s="12"/>
      <c r="N4" s="6" t="s">
        <v>1</v>
      </c>
      <c r="O4" s="7" t="s">
        <v>18</v>
      </c>
      <c r="P4" s="11"/>
      <c r="Q4" s="11"/>
      <c r="R4" s="11"/>
      <c r="S4" s="11"/>
      <c r="T4" s="11"/>
      <c r="U4" s="11"/>
      <c r="V4" s="11"/>
      <c r="W4" s="11"/>
      <c r="X4" s="12"/>
    </row>
    <row r="5" spans="1:24" x14ac:dyDescent="0.25">
      <c r="B5" s="13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3"/>
      <c r="O5" s="3" t="s">
        <v>2</v>
      </c>
      <c r="P5" s="3" t="s">
        <v>3</v>
      </c>
      <c r="Q5" s="3" t="s">
        <v>4</v>
      </c>
      <c r="R5" s="3" t="s">
        <v>5</v>
      </c>
      <c r="S5" s="3" t="s">
        <v>6</v>
      </c>
      <c r="T5" s="3" t="s">
        <v>7</v>
      </c>
      <c r="U5" s="3" t="s">
        <v>8</v>
      </c>
      <c r="V5" s="3" t="s">
        <v>9</v>
      </c>
      <c r="W5" s="3" t="s">
        <v>10</v>
      </c>
      <c r="X5" s="3" t="s">
        <v>11</v>
      </c>
    </row>
    <row r="6" spans="1:24" x14ac:dyDescent="0.25">
      <c r="B6" s="2" t="s">
        <v>14</v>
      </c>
      <c r="C6" s="2">
        <v>4.1000000000000003E-3</v>
      </c>
      <c r="D6" s="2">
        <v>3.5000000000000001E-3</v>
      </c>
      <c r="E6" s="2">
        <v>3.3E-3</v>
      </c>
      <c r="F6" s="2">
        <v>3.3E-3</v>
      </c>
      <c r="G6" s="2">
        <v>3.3E-3</v>
      </c>
      <c r="H6" s="2">
        <v>3.3999999999999998E-3</v>
      </c>
      <c r="I6" s="2">
        <v>3.3E-3</v>
      </c>
      <c r="J6" s="2">
        <v>3.3E-3</v>
      </c>
      <c r="K6" s="2">
        <v>3.3E-3</v>
      </c>
      <c r="L6" s="2">
        <v>3.3E-3</v>
      </c>
      <c r="N6" s="2" t="s">
        <v>14</v>
      </c>
      <c r="O6" s="2">
        <v>0.1014</v>
      </c>
      <c r="P6" s="2">
        <v>9.69E-2</v>
      </c>
      <c r="Q6" s="2">
        <v>9.6600000000000005E-2</v>
      </c>
      <c r="R6" s="2">
        <v>9.6500000000000002E-2</v>
      </c>
      <c r="S6" s="2">
        <v>9.6600000000000005E-2</v>
      </c>
      <c r="T6" s="2">
        <v>9.6600000000000005E-2</v>
      </c>
      <c r="U6" s="2">
        <v>9.6500000000000002E-2</v>
      </c>
      <c r="V6" s="2">
        <v>9.6600000000000005E-2</v>
      </c>
      <c r="W6" s="2">
        <v>9.6500000000000002E-2</v>
      </c>
      <c r="X6" s="2">
        <v>9.6500000000000002E-2</v>
      </c>
    </row>
    <row r="7" spans="1:24" x14ac:dyDescent="0.25">
      <c r="B7" s="2" t="s">
        <v>12</v>
      </c>
      <c r="C7" s="2">
        <v>7.4000000000000003E-3</v>
      </c>
      <c r="D7" s="2">
        <v>6.8999999999999999E-3</v>
      </c>
      <c r="E7" s="2">
        <v>5.0000000000000001E-3</v>
      </c>
      <c r="F7" s="2">
        <v>4.5999999999999999E-3</v>
      </c>
      <c r="G7" s="2">
        <v>4.5999999999999999E-3</v>
      </c>
      <c r="H7" s="2">
        <v>4.5999999999999999E-3</v>
      </c>
      <c r="I7" s="2">
        <v>4.5999999999999999E-3</v>
      </c>
      <c r="J7" s="2">
        <v>4.5999999999999999E-3</v>
      </c>
      <c r="K7" s="2">
        <v>4.7000000000000002E-3</v>
      </c>
      <c r="L7" s="2">
        <v>4.5999999999999999E-3</v>
      </c>
      <c r="N7" s="2" t="s">
        <v>12</v>
      </c>
      <c r="O7" s="2">
        <v>0.12709999999999999</v>
      </c>
      <c r="P7" s="2">
        <v>0.1229</v>
      </c>
      <c r="Q7" s="2">
        <v>0.1191</v>
      </c>
      <c r="R7" s="2">
        <v>0.1173</v>
      </c>
      <c r="S7" s="2">
        <v>0.11650000000000001</v>
      </c>
      <c r="T7" s="2">
        <v>0.11600000000000001</v>
      </c>
      <c r="U7" s="2">
        <v>0.1216</v>
      </c>
      <c r="V7" s="2">
        <v>0.13730000000000001</v>
      </c>
      <c r="W7" s="2">
        <v>0.1903</v>
      </c>
      <c r="X7" s="2">
        <v>0.18290000000000001</v>
      </c>
    </row>
    <row r="8" spans="1:24" x14ac:dyDescent="0.25">
      <c r="B8" s="2" t="s">
        <v>13</v>
      </c>
      <c r="C8" s="2">
        <v>1.1900000000000001E-2</v>
      </c>
      <c r="D8" s="2">
        <v>1.0999999999999999E-2</v>
      </c>
      <c r="E8" s="2">
        <v>9.5999999999999992E-3</v>
      </c>
      <c r="F8" s="2">
        <v>9.1000000000000004E-3</v>
      </c>
      <c r="G8" s="2">
        <v>8.9999999999999993E-3</v>
      </c>
      <c r="H8" s="2">
        <v>8.9999999999999993E-3</v>
      </c>
      <c r="I8" s="2">
        <v>8.9999999999999993E-3</v>
      </c>
      <c r="J8" s="2">
        <v>8.9999999999999993E-3</v>
      </c>
      <c r="K8" s="2">
        <v>8.9999999999999993E-3</v>
      </c>
      <c r="L8" s="2">
        <v>8.9999999999999993E-3</v>
      </c>
      <c r="N8" s="2" t="s">
        <v>13</v>
      </c>
      <c r="O8" s="2">
        <v>0.26740000000000003</v>
      </c>
      <c r="P8" s="2">
        <v>0.25119999999999998</v>
      </c>
      <c r="Q8" s="2">
        <v>0.2492</v>
      </c>
      <c r="R8" s="2">
        <v>0.2419</v>
      </c>
      <c r="S8" s="2">
        <v>0.24690000000000001</v>
      </c>
      <c r="T8" s="2">
        <v>0.24790000000000001</v>
      </c>
      <c r="U8" s="2">
        <v>0.23899999999999999</v>
      </c>
      <c r="V8" s="2">
        <v>0.23849999999999999</v>
      </c>
      <c r="W8" s="2">
        <v>0.37040000000000001</v>
      </c>
      <c r="X8" s="2">
        <v>0.31069999999999998</v>
      </c>
    </row>
    <row r="9" spans="1:24" x14ac:dyDescent="0.25">
      <c r="B9" s="2" t="s">
        <v>15</v>
      </c>
      <c r="C9" s="2">
        <v>5.3E-3</v>
      </c>
      <c r="D9" s="2">
        <v>3.5000000000000001E-3</v>
      </c>
      <c r="E9" s="2">
        <v>1.2200000000000001E-2</v>
      </c>
      <c r="F9" s="2">
        <v>2.8999999999999998E-3</v>
      </c>
      <c r="G9" s="2">
        <v>2.8999999999999998E-3</v>
      </c>
      <c r="H9" s="2">
        <v>2.8999999999999998E-3</v>
      </c>
      <c r="I9" s="2">
        <v>2.8999999999999998E-3</v>
      </c>
      <c r="J9" s="2">
        <v>3.0000000000000001E-3</v>
      </c>
      <c r="K9" s="2">
        <v>2.8999999999999998E-3</v>
      </c>
      <c r="L9" s="2">
        <v>2.8999999999999998E-3</v>
      </c>
      <c r="N9" s="2" t="s">
        <v>15</v>
      </c>
      <c r="O9" s="2">
        <v>4.6399999999999997E-2</v>
      </c>
      <c r="P9" s="2">
        <v>3.27E-2</v>
      </c>
      <c r="Q9" s="2">
        <v>2.7900000000000001E-2</v>
      </c>
      <c r="R9" s="2">
        <v>2.7300000000000001E-2</v>
      </c>
      <c r="S9" s="2">
        <v>2.6800000000000001E-2</v>
      </c>
      <c r="T9" s="2">
        <v>2.7199999999999998E-2</v>
      </c>
      <c r="U9" s="2">
        <v>2.7099999999999999E-2</v>
      </c>
      <c r="V9" s="2">
        <v>2.7099999999999999E-2</v>
      </c>
      <c r="W9" s="2">
        <v>2.7E-2</v>
      </c>
      <c r="X9" s="2">
        <v>2.7E-2</v>
      </c>
    </row>
    <row r="10" spans="1:24" x14ac:dyDescent="0.25">
      <c r="B10" s="2" t="s">
        <v>16</v>
      </c>
      <c r="C10" s="2">
        <v>3.7000000000000002E-3</v>
      </c>
      <c r="D10" s="2">
        <v>2.7000000000000001E-3</v>
      </c>
      <c r="E10" s="2">
        <v>1.6000000000000001E-3</v>
      </c>
      <c r="F10" s="2">
        <v>1.4E-3</v>
      </c>
      <c r="G10" s="2">
        <v>1.4E-3</v>
      </c>
      <c r="H10" s="2">
        <v>1.4E-3</v>
      </c>
      <c r="I10" s="2">
        <v>1.4E-3</v>
      </c>
      <c r="J10" s="2">
        <v>1.4E-3</v>
      </c>
      <c r="K10" s="2">
        <v>1.4E-3</v>
      </c>
      <c r="L10" s="2">
        <v>1.4E-3</v>
      </c>
      <c r="N10" s="2" t="s">
        <v>16</v>
      </c>
      <c r="O10" s="2">
        <v>4.2099999999999999E-2</v>
      </c>
      <c r="P10" s="2">
        <v>1.83E-2</v>
      </c>
      <c r="Q10" s="2">
        <v>1.34E-2</v>
      </c>
      <c r="R10" s="2">
        <v>1.2999999999999999E-2</v>
      </c>
      <c r="S10" s="2">
        <v>1.3100000000000001E-2</v>
      </c>
      <c r="T10" s="2">
        <v>1.2999999999999999E-2</v>
      </c>
      <c r="U10" s="2">
        <v>1.2999999999999999E-2</v>
      </c>
      <c r="V10" s="2">
        <v>1.2999999999999999E-2</v>
      </c>
      <c r="W10" s="2">
        <v>1.29E-2</v>
      </c>
      <c r="X10" s="2">
        <v>1.2999999999999999E-2</v>
      </c>
    </row>
    <row r="12" spans="1:24" x14ac:dyDescent="0.25">
      <c r="B12" s="4" t="s">
        <v>19</v>
      </c>
      <c r="C12" s="1">
        <f>E32</f>
        <v>1000</v>
      </c>
      <c r="N12" s="4" t="s">
        <v>19</v>
      </c>
      <c r="O12" s="1">
        <f>F32</f>
        <v>5000</v>
      </c>
    </row>
    <row r="13" spans="1:24" x14ac:dyDescent="0.25">
      <c r="B13" s="6" t="s">
        <v>1</v>
      </c>
      <c r="C13" s="7" t="s">
        <v>18</v>
      </c>
      <c r="D13" s="11"/>
      <c r="E13" s="11"/>
      <c r="F13" s="11"/>
      <c r="G13" s="11"/>
      <c r="H13" s="11"/>
      <c r="I13" s="11"/>
      <c r="J13" s="11"/>
      <c r="K13" s="11"/>
      <c r="L13" s="12"/>
      <c r="N13" s="6" t="s">
        <v>1</v>
      </c>
      <c r="O13" s="7" t="s">
        <v>18</v>
      </c>
      <c r="P13" s="11"/>
      <c r="Q13" s="11"/>
      <c r="R13" s="11"/>
      <c r="S13" s="11"/>
      <c r="T13" s="11"/>
      <c r="U13" s="11"/>
      <c r="V13" s="11"/>
      <c r="W13" s="11"/>
      <c r="X13" s="12"/>
    </row>
    <row r="14" spans="1:24" x14ac:dyDescent="0.25">
      <c r="B14" s="13"/>
      <c r="C14" s="3" t="s">
        <v>2</v>
      </c>
      <c r="D14" s="3" t="s">
        <v>3</v>
      </c>
      <c r="E14" s="3" t="s">
        <v>4</v>
      </c>
      <c r="F14" s="3" t="s">
        <v>5</v>
      </c>
      <c r="G14" s="3" t="s">
        <v>6</v>
      </c>
      <c r="H14" s="3" t="s">
        <v>7</v>
      </c>
      <c r="I14" s="3" t="s">
        <v>8</v>
      </c>
      <c r="J14" s="3" t="s">
        <v>9</v>
      </c>
      <c r="K14" s="3" t="s">
        <v>10</v>
      </c>
      <c r="L14" s="3" t="s">
        <v>11</v>
      </c>
      <c r="N14" s="13"/>
      <c r="O14" s="3" t="s">
        <v>2</v>
      </c>
      <c r="P14" s="3" t="s">
        <v>3</v>
      </c>
      <c r="Q14" s="3" t="s">
        <v>4</v>
      </c>
      <c r="R14" s="3" t="s">
        <v>5</v>
      </c>
      <c r="S14" s="3" t="s">
        <v>6</v>
      </c>
      <c r="T14" s="3" t="s">
        <v>7</v>
      </c>
      <c r="U14" s="3" t="s">
        <v>8</v>
      </c>
      <c r="V14" s="3" t="s">
        <v>9</v>
      </c>
      <c r="W14" s="3" t="s">
        <v>10</v>
      </c>
      <c r="X14" s="3" t="s">
        <v>11</v>
      </c>
    </row>
    <row r="15" spans="1:24" x14ac:dyDescent="0.25">
      <c r="B15" s="2" t="s">
        <v>14</v>
      </c>
      <c r="C15" s="2">
        <v>0.50419999999999998</v>
      </c>
      <c r="D15" s="2">
        <v>0.3548</v>
      </c>
      <c r="E15" s="2">
        <v>0.34189999999999998</v>
      </c>
      <c r="F15" s="2">
        <v>0.34370000000000001</v>
      </c>
      <c r="G15" s="2">
        <v>0.35170000000000001</v>
      </c>
      <c r="H15" s="2">
        <v>0.34210000000000002</v>
      </c>
      <c r="I15" s="2">
        <v>0.34239999999999998</v>
      </c>
      <c r="J15" s="2">
        <v>0.3538</v>
      </c>
      <c r="K15" s="2">
        <v>0.34350000000000003</v>
      </c>
      <c r="L15" s="2">
        <v>0.34339999999999998</v>
      </c>
      <c r="N15" s="2" t="s">
        <v>14</v>
      </c>
      <c r="O15" s="2">
        <v>8.8356999999999992</v>
      </c>
      <c r="P15" s="2">
        <v>9.8757999999999999</v>
      </c>
      <c r="Q15" s="2">
        <v>9.2029999999999994</v>
      </c>
      <c r="R15" s="2">
        <v>8.8292999999999999</v>
      </c>
      <c r="S15" s="2">
        <v>9.1554000000000002</v>
      </c>
      <c r="T15" s="2">
        <v>8.8246000000000002</v>
      </c>
      <c r="U15" s="2">
        <v>9.6296999999999997</v>
      </c>
      <c r="V15" s="2">
        <v>8.8139000000000003</v>
      </c>
      <c r="W15" s="2">
        <v>8.7524999999999995</v>
      </c>
      <c r="X15" s="2">
        <v>8.7559000000000005</v>
      </c>
    </row>
    <row r="16" spans="1:24" x14ac:dyDescent="0.25">
      <c r="B16" s="2" t="s">
        <v>12</v>
      </c>
      <c r="C16" s="2">
        <v>0.47899999999999998</v>
      </c>
      <c r="D16" s="2">
        <v>0.46939999999999998</v>
      </c>
      <c r="E16" s="2">
        <v>0.47020000000000001</v>
      </c>
      <c r="F16" s="2">
        <v>0.46350000000000002</v>
      </c>
      <c r="G16" s="2">
        <v>0.46610000000000001</v>
      </c>
      <c r="H16" s="2">
        <v>0.46179999999999999</v>
      </c>
      <c r="I16" s="2">
        <v>0.47139999999999999</v>
      </c>
      <c r="J16" s="2">
        <v>0.46389999999999998</v>
      </c>
      <c r="K16" s="2">
        <v>0.46800000000000003</v>
      </c>
      <c r="L16" s="2">
        <v>0.4632</v>
      </c>
      <c r="N16" s="2" t="s">
        <v>12</v>
      </c>
      <c r="O16" s="2">
        <v>10.988300000000001</v>
      </c>
      <c r="P16" s="2">
        <v>11.533099999999999</v>
      </c>
      <c r="Q16" s="2">
        <v>11.131600000000001</v>
      </c>
      <c r="R16" s="2">
        <v>10.855</v>
      </c>
      <c r="S16" s="2">
        <v>10.9977</v>
      </c>
      <c r="T16" s="2">
        <v>11.121700000000001</v>
      </c>
      <c r="U16" s="2">
        <v>10.807499999999999</v>
      </c>
      <c r="V16" s="2">
        <v>11.277699999999999</v>
      </c>
      <c r="W16" s="2">
        <v>11.011799999999999</v>
      </c>
      <c r="X16" s="2">
        <v>11.5754</v>
      </c>
    </row>
    <row r="17" spans="2:24" x14ac:dyDescent="0.25">
      <c r="B17" s="2" t="s">
        <v>13</v>
      </c>
      <c r="C17" s="2">
        <v>0.9607</v>
      </c>
      <c r="D17" s="2">
        <v>0.94669999999999999</v>
      </c>
      <c r="E17" s="2">
        <v>0.93959999999999999</v>
      </c>
      <c r="F17" s="2">
        <v>0.9375</v>
      </c>
      <c r="G17" s="2">
        <v>0.93630000000000002</v>
      </c>
      <c r="H17" s="2">
        <v>1.2179</v>
      </c>
      <c r="I17" s="2">
        <v>1.3096000000000001</v>
      </c>
      <c r="J17" s="2">
        <v>1.3906000000000001</v>
      </c>
      <c r="K17" s="2">
        <v>1.0583</v>
      </c>
      <c r="L17" s="2">
        <v>0.94</v>
      </c>
      <c r="N17" s="2" t="s">
        <v>13</v>
      </c>
      <c r="O17" s="2">
        <v>22.4754</v>
      </c>
      <c r="P17" s="2">
        <v>23.703399999999998</v>
      </c>
      <c r="Q17" s="2">
        <v>23.3719</v>
      </c>
      <c r="R17" s="2">
        <v>22.591000000000001</v>
      </c>
      <c r="S17" s="2">
        <v>25.265999999999998</v>
      </c>
      <c r="T17" s="2">
        <v>25.139500000000002</v>
      </c>
      <c r="U17" s="2">
        <v>22.900099999999998</v>
      </c>
      <c r="V17" s="2">
        <v>22.982099999999999</v>
      </c>
      <c r="W17" s="2">
        <v>22.679099999999998</v>
      </c>
      <c r="X17" s="2">
        <v>23.167000000000002</v>
      </c>
    </row>
    <row r="18" spans="2:24" x14ac:dyDescent="0.25">
      <c r="B18" s="2" t="s">
        <v>15</v>
      </c>
      <c r="C18" s="2">
        <v>6.6699999999999995E-2</v>
      </c>
      <c r="D18" s="2">
        <v>4.9200000000000001E-2</v>
      </c>
      <c r="E18" s="2">
        <v>4.2299999999999997E-2</v>
      </c>
      <c r="F18" s="2">
        <v>4.0800000000000003E-2</v>
      </c>
      <c r="G18" s="2">
        <v>4.0500000000000001E-2</v>
      </c>
      <c r="H18" s="2">
        <v>3.9899999999999998E-2</v>
      </c>
      <c r="I18" s="2">
        <v>3.9800000000000002E-2</v>
      </c>
      <c r="J18" s="2">
        <v>3.9800000000000002E-2</v>
      </c>
      <c r="K18" s="2">
        <v>4.5100000000000001E-2</v>
      </c>
      <c r="L18" s="2">
        <v>3.9800000000000002E-2</v>
      </c>
      <c r="N18" s="2" t="s">
        <v>15</v>
      </c>
      <c r="O18" s="2">
        <v>0.45300000000000001</v>
      </c>
      <c r="P18" s="2">
        <v>0.35399999999999998</v>
      </c>
      <c r="Q18" s="2">
        <v>0.34100000000000003</v>
      </c>
      <c r="R18" s="2">
        <v>0.33460000000000001</v>
      </c>
      <c r="S18" s="2">
        <v>0.33139999999999997</v>
      </c>
      <c r="T18" s="2">
        <v>0.32250000000000001</v>
      </c>
      <c r="U18" s="2">
        <v>0.32040000000000002</v>
      </c>
      <c r="V18" s="2">
        <v>0.32219999999999999</v>
      </c>
      <c r="W18" s="2">
        <v>0.31630000000000003</v>
      </c>
      <c r="X18" s="2">
        <v>0.31590000000000001</v>
      </c>
    </row>
    <row r="19" spans="2:24" x14ac:dyDescent="0.25">
      <c r="B19" s="2" t="s">
        <v>16</v>
      </c>
      <c r="C19" s="2">
        <v>4.5199999999999997E-2</v>
      </c>
      <c r="D19" s="2">
        <v>3.7999999999999999E-2</v>
      </c>
      <c r="E19" s="2">
        <v>2.3199999999999998E-2</v>
      </c>
      <c r="F19" s="2">
        <v>1.9900000000000001E-2</v>
      </c>
      <c r="G19" s="2">
        <v>1.9099999999999999E-2</v>
      </c>
      <c r="H19" s="2">
        <v>1.9099999999999999E-2</v>
      </c>
      <c r="I19" s="2">
        <v>1.8599999999999998E-2</v>
      </c>
      <c r="J19" s="2">
        <v>1.8800000000000001E-2</v>
      </c>
      <c r="K19" s="2">
        <v>1.9E-2</v>
      </c>
      <c r="L19" s="2">
        <v>3.5099999999999999E-2</v>
      </c>
      <c r="N19" s="2" t="s">
        <v>16</v>
      </c>
      <c r="O19" s="2">
        <v>0.2485</v>
      </c>
      <c r="P19" s="2">
        <v>0.2414</v>
      </c>
      <c r="Q19" s="2">
        <v>0.22750000000000001</v>
      </c>
      <c r="R19" s="2">
        <v>0.21640000000000001</v>
      </c>
      <c r="S19" s="2">
        <v>0.20899999999999999</v>
      </c>
      <c r="T19" s="2">
        <v>0.20610000000000001</v>
      </c>
      <c r="U19" s="2">
        <v>0.1981</v>
      </c>
      <c r="V19" s="2">
        <v>0.20150000000000001</v>
      </c>
      <c r="W19" s="2">
        <v>0.2361</v>
      </c>
      <c r="X19" s="2">
        <v>0.2286</v>
      </c>
    </row>
    <row r="21" spans="2:24" x14ac:dyDescent="0.25">
      <c r="B21" s="4" t="s">
        <v>19</v>
      </c>
      <c r="C21" s="1">
        <f>G32</f>
        <v>10000</v>
      </c>
      <c r="N21" s="4" t="s">
        <v>19</v>
      </c>
      <c r="O21" s="1">
        <f>H32</f>
        <v>50000</v>
      </c>
    </row>
    <row r="22" spans="2:24" x14ac:dyDescent="0.25">
      <c r="B22" s="6" t="s">
        <v>1</v>
      </c>
      <c r="C22" s="7" t="s">
        <v>18</v>
      </c>
      <c r="D22" s="11"/>
      <c r="E22" s="11"/>
      <c r="F22" s="11"/>
      <c r="G22" s="11"/>
      <c r="H22" s="11"/>
      <c r="I22" s="11"/>
      <c r="J22" s="11"/>
      <c r="K22" s="11"/>
      <c r="L22" s="12"/>
      <c r="N22" s="6" t="s">
        <v>1</v>
      </c>
      <c r="O22" s="7" t="s">
        <v>18</v>
      </c>
      <c r="P22" s="11"/>
      <c r="Q22" s="11"/>
      <c r="R22" s="11"/>
      <c r="S22" s="11"/>
      <c r="T22" s="11"/>
      <c r="U22" s="11"/>
      <c r="V22" s="11"/>
      <c r="W22" s="11"/>
      <c r="X22" s="12"/>
    </row>
    <row r="23" spans="2:24" x14ac:dyDescent="0.25">
      <c r="B23" s="13"/>
      <c r="C23" s="3" t="s">
        <v>2</v>
      </c>
      <c r="D23" s="3" t="s">
        <v>3</v>
      </c>
      <c r="E23" s="3" t="s">
        <v>4</v>
      </c>
      <c r="F23" s="3" t="s">
        <v>5</v>
      </c>
      <c r="G23" s="3" t="s">
        <v>6</v>
      </c>
      <c r="H23" s="3" t="s">
        <v>7</v>
      </c>
      <c r="I23" s="3" t="s">
        <v>8</v>
      </c>
      <c r="J23" s="3" t="s">
        <v>9</v>
      </c>
      <c r="K23" s="3" t="s">
        <v>10</v>
      </c>
      <c r="L23" s="3" t="s">
        <v>11</v>
      </c>
      <c r="N23" s="13"/>
      <c r="O23" s="3" t="s">
        <v>2</v>
      </c>
      <c r="P23" s="3" t="s">
        <v>3</v>
      </c>
      <c r="Q23" s="3" t="s">
        <v>4</v>
      </c>
      <c r="R23" s="3" t="s">
        <v>5</v>
      </c>
      <c r="S23" s="3" t="s">
        <v>6</v>
      </c>
      <c r="T23" s="3" t="s">
        <v>7</v>
      </c>
      <c r="U23" s="3" t="s">
        <v>8</v>
      </c>
      <c r="V23" s="3" t="s">
        <v>9</v>
      </c>
      <c r="W23" s="3" t="s">
        <v>10</v>
      </c>
      <c r="X23" s="3" t="s">
        <v>11</v>
      </c>
    </row>
    <row r="24" spans="2:24" x14ac:dyDescent="0.25">
      <c r="B24" s="2" t="s">
        <v>14</v>
      </c>
      <c r="C24" s="2">
        <v>34.321100000000001</v>
      </c>
      <c r="D24" s="2">
        <v>35.676400000000001</v>
      </c>
      <c r="E24" s="2">
        <v>35.314399999999999</v>
      </c>
      <c r="F24" s="2">
        <v>37.550400000000003</v>
      </c>
      <c r="G24" s="2">
        <v>35.549700000000001</v>
      </c>
      <c r="H24" s="2">
        <v>36.2181</v>
      </c>
      <c r="I24" s="2">
        <v>35.344999999999999</v>
      </c>
      <c r="J24" s="2">
        <v>34.2029</v>
      </c>
      <c r="K24" s="2">
        <v>34.665199999999999</v>
      </c>
      <c r="L24" s="2">
        <v>34.161299999999997</v>
      </c>
      <c r="N24" s="2" t="s">
        <v>14</v>
      </c>
      <c r="O24" s="2">
        <v>868.06060000000002</v>
      </c>
      <c r="P24" s="2">
        <v>877.39440000000002</v>
      </c>
      <c r="Q24" s="2">
        <v>866.85130000000004</v>
      </c>
      <c r="R24" s="2">
        <v>882.58219999999994</v>
      </c>
      <c r="S24" s="2">
        <v>903.27279999999996</v>
      </c>
      <c r="T24" s="2">
        <v>923.50300000000004</v>
      </c>
      <c r="U24" s="2">
        <v>886.74720000000002</v>
      </c>
      <c r="V24" s="2">
        <v>921.13440000000003</v>
      </c>
      <c r="W24" s="2">
        <v>919.10699999999997</v>
      </c>
      <c r="X24" s="2">
        <v>939.16319999999996</v>
      </c>
    </row>
    <row r="25" spans="2:24" x14ac:dyDescent="0.25">
      <c r="B25" s="2" t="s">
        <v>12</v>
      </c>
      <c r="C25" s="2">
        <v>43.8628</v>
      </c>
      <c r="D25" s="2">
        <v>43.9925</v>
      </c>
      <c r="E25" s="2">
        <v>46.468200000000003</v>
      </c>
      <c r="F25" s="2">
        <v>47.744300000000003</v>
      </c>
      <c r="G25" s="2">
        <v>46.180799999999998</v>
      </c>
      <c r="H25" s="2">
        <v>45.310699999999997</v>
      </c>
      <c r="I25" s="2">
        <v>45.280299999999997</v>
      </c>
      <c r="J25" s="2">
        <v>44.079099999999997</v>
      </c>
      <c r="K25" s="2">
        <v>47.499099999999999</v>
      </c>
      <c r="L25" s="2">
        <v>45.697499999999998</v>
      </c>
      <c r="N25" s="2" t="s">
        <v>12</v>
      </c>
      <c r="O25" s="2">
        <v>1173.087</v>
      </c>
      <c r="P25" s="2">
        <v>1129.7619999999999</v>
      </c>
      <c r="Q25" s="2">
        <v>1197.8713</v>
      </c>
      <c r="R25" s="2">
        <v>1137.0664999999999</v>
      </c>
      <c r="S25" s="2">
        <v>1121.0473</v>
      </c>
      <c r="T25" s="2">
        <v>1150.1841999999999</v>
      </c>
      <c r="U25" s="2">
        <v>1138.5012999999999</v>
      </c>
      <c r="V25" s="2">
        <v>1141.0028</v>
      </c>
      <c r="W25" s="2">
        <v>1133.9609</v>
      </c>
      <c r="X25" s="2">
        <v>1121.5616</v>
      </c>
    </row>
    <row r="26" spans="2:24" x14ac:dyDescent="0.25">
      <c r="B26" s="2" t="s">
        <v>13</v>
      </c>
      <c r="C26" s="2">
        <v>98.279799999999994</v>
      </c>
      <c r="D26" s="2">
        <v>96.567999999999998</v>
      </c>
      <c r="E26" s="2">
        <v>98.576700000000002</v>
      </c>
      <c r="F26" s="2">
        <v>93.311199999999999</v>
      </c>
      <c r="G26" s="2">
        <v>92.759500000000003</v>
      </c>
      <c r="H26" s="2">
        <v>94.284300000000002</v>
      </c>
      <c r="I26" s="2">
        <v>97.297399999999996</v>
      </c>
      <c r="J26" s="2">
        <v>97.755700000000004</v>
      </c>
      <c r="K26" s="2">
        <v>93.373900000000006</v>
      </c>
      <c r="L26" s="2">
        <v>91.055300000000003</v>
      </c>
      <c r="N26" s="2" t="s">
        <v>13</v>
      </c>
      <c r="O26" s="2">
        <v>2339.2865000000002</v>
      </c>
      <c r="P26" s="2">
        <v>2576.0318000000002</v>
      </c>
      <c r="Q26" s="2">
        <v>2428.8901000000001</v>
      </c>
      <c r="R26" s="2">
        <v>2369.9295000000002</v>
      </c>
      <c r="S26" s="2">
        <v>2413.4684000000002</v>
      </c>
      <c r="T26" s="2">
        <v>2435.8843999999999</v>
      </c>
      <c r="U26" s="2">
        <v>2426.3197</v>
      </c>
      <c r="V26" s="2">
        <v>2421.0010000000002</v>
      </c>
      <c r="W26" s="2">
        <v>2434.6837</v>
      </c>
      <c r="X26" s="2">
        <v>2386.3489</v>
      </c>
    </row>
    <row r="27" spans="2:24" x14ac:dyDescent="0.25">
      <c r="B27" s="2" t="s">
        <v>15</v>
      </c>
      <c r="C27" s="2">
        <v>0.82410000000000005</v>
      </c>
      <c r="D27" s="2">
        <v>0.78639999999999999</v>
      </c>
      <c r="E27" s="2">
        <v>0.78049999999999997</v>
      </c>
      <c r="F27" s="2">
        <v>0.82630000000000003</v>
      </c>
      <c r="G27" s="2">
        <v>0.78720000000000001</v>
      </c>
      <c r="H27" s="2">
        <v>0.77410000000000001</v>
      </c>
      <c r="I27" s="2">
        <v>0.76459999999999995</v>
      </c>
      <c r="J27" s="2">
        <v>0.76719999999999999</v>
      </c>
      <c r="K27" s="2">
        <v>0.77359999999999995</v>
      </c>
      <c r="L27" s="2">
        <v>0.77010000000000001</v>
      </c>
      <c r="N27" s="2" t="s">
        <v>15</v>
      </c>
      <c r="O27" s="2">
        <v>4.8323999999999998</v>
      </c>
      <c r="P27" s="2">
        <v>4.9688999999999997</v>
      </c>
      <c r="Q27" s="2">
        <v>5.1543999999999999</v>
      </c>
      <c r="R27" s="2">
        <v>4.7093999999999996</v>
      </c>
      <c r="S27" s="2">
        <v>5.1172000000000004</v>
      </c>
      <c r="T27" s="2">
        <v>4.7491000000000003</v>
      </c>
      <c r="U27" s="2">
        <v>4.7873000000000001</v>
      </c>
      <c r="V27" s="2">
        <v>5.0522</v>
      </c>
      <c r="W27" s="2">
        <v>5.0076000000000001</v>
      </c>
      <c r="X27" s="2">
        <v>4.7050999999999998</v>
      </c>
    </row>
    <row r="28" spans="2:24" x14ac:dyDescent="0.25">
      <c r="B28" s="2" t="s">
        <v>16</v>
      </c>
      <c r="C28" s="2">
        <v>0.54369999999999996</v>
      </c>
      <c r="D28" s="2">
        <v>0.55200000000000005</v>
      </c>
      <c r="E28" s="2">
        <v>0.53120000000000001</v>
      </c>
      <c r="F28" s="2">
        <v>0.53349999999999997</v>
      </c>
      <c r="G28" s="2">
        <v>0.53269999999999995</v>
      </c>
      <c r="H28" s="2">
        <v>0.52680000000000005</v>
      </c>
      <c r="I28" s="2">
        <v>0.52969999999999995</v>
      </c>
      <c r="J28" s="2">
        <v>0.52659999999999996</v>
      </c>
      <c r="K28" s="2">
        <v>0.52039999999999997</v>
      </c>
      <c r="L28" s="2">
        <v>0.52429999999999999</v>
      </c>
      <c r="N28" s="2" t="s">
        <v>16</v>
      </c>
      <c r="O28" s="2">
        <v>3.2902</v>
      </c>
      <c r="P28" s="2">
        <v>3.4653999999999998</v>
      </c>
      <c r="Q28" s="2">
        <v>3.3106</v>
      </c>
      <c r="R28" s="2">
        <v>3.4045999999999998</v>
      </c>
      <c r="S28" s="2">
        <v>3.2970000000000002</v>
      </c>
      <c r="T28" s="2">
        <v>3.3713000000000002</v>
      </c>
      <c r="U28" s="2">
        <v>3.3136999999999999</v>
      </c>
      <c r="V28" s="2">
        <v>3.3351000000000002</v>
      </c>
      <c r="W28" s="2">
        <v>3.3092999999999999</v>
      </c>
      <c r="X28" s="2">
        <v>3.452</v>
      </c>
    </row>
    <row r="31" spans="2:24" x14ac:dyDescent="0.25">
      <c r="B31" s="6" t="s">
        <v>1</v>
      </c>
      <c r="C31" s="9" t="s">
        <v>17</v>
      </c>
      <c r="D31" s="11"/>
      <c r="E31" s="11"/>
      <c r="F31" s="11"/>
      <c r="G31" s="11"/>
      <c r="H31" s="12"/>
    </row>
    <row r="32" spans="2:24" x14ac:dyDescent="0.25">
      <c r="B32" s="13"/>
      <c r="C32" s="2">
        <v>100</v>
      </c>
      <c r="D32" s="2">
        <v>500</v>
      </c>
      <c r="E32" s="2">
        <v>1000</v>
      </c>
      <c r="F32" s="2">
        <v>5000</v>
      </c>
      <c r="G32" s="2">
        <v>10000</v>
      </c>
      <c r="H32" s="2">
        <v>50000</v>
      </c>
    </row>
    <row r="33" spans="2:8" x14ac:dyDescent="0.25">
      <c r="B33" s="2" t="s">
        <v>14</v>
      </c>
      <c r="C33" s="2">
        <f>IF(COUNTBLANK(C6:L6)&gt;0,"undone",AVERAGE(C6:L6))</f>
        <v>3.4100000000000007E-3</v>
      </c>
      <c r="D33" s="2">
        <f>IF(COUNTBLANK(O6:X6)&gt;0,"undone",AVERAGE(O6:X6))</f>
        <v>9.7070000000000017E-2</v>
      </c>
      <c r="E33" s="2">
        <f>IF(COUNTBLANK(C15:L15)&gt;0,"undone",AVERAGE(C15:L15))</f>
        <v>0.36215000000000003</v>
      </c>
      <c r="F33" s="2">
        <f>IF(COUNTBLANK(O15:X15)&gt;0,"undone",AVERAGE(O15:X15))</f>
        <v>9.0675799999999995</v>
      </c>
      <c r="G33" s="2">
        <f>IF(COUNTBLANK(C24:L24)&gt;0,"undone",AVERAGE(C24:L24))</f>
        <v>35.300449999999998</v>
      </c>
      <c r="H33" s="2">
        <f>IF(COUNTBLANK(O24:X24)&gt;0,"undone",AVERAGE(O24:X24))</f>
        <v>898.78161</v>
      </c>
    </row>
    <row r="34" spans="2:8" x14ac:dyDescent="0.25">
      <c r="B34" s="2" t="s">
        <v>12</v>
      </c>
      <c r="C34" s="2">
        <f>IF(COUNTBLANK(C7:L7)&gt;0,"undone",AVERAGE(C7:L7))</f>
        <v>5.1600000000000005E-3</v>
      </c>
      <c r="D34" s="2">
        <f>IF(COUNTBLANK(O7:X7)&gt;0,"undone",AVERAGE(O7:X7))</f>
        <v>0.1351</v>
      </c>
      <c r="E34" s="2">
        <f>IF(COUNTBLANK(C16:L16)&gt;0,"undone",AVERAGE(C16:L16))</f>
        <v>0.4676499999999999</v>
      </c>
      <c r="F34" s="2">
        <f>IF(COUNTBLANK(O16:X16)&gt;0,"undone",AVERAGE(O16:X16))</f>
        <v>11.12998</v>
      </c>
      <c r="G34" s="2">
        <f>IF(COUNTBLANK(C25:L25)&gt;0,"undone",AVERAGE(C25:L25))</f>
        <v>45.611530000000002</v>
      </c>
      <c r="H34" s="2">
        <f>IF(COUNTBLANK(O25:X25)&gt;0,"undone",AVERAGE(O25:X25))</f>
        <v>1144.4044900000001</v>
      </c>
    </row>
    <row r="35" spans="2:8" x14ac:dyDescent="0.25">
      <c r="B35" s="2" t="s">
        <v>13</v>
      </c>
      <c r="C35" s="2">
        <f>IF(COUNTBLANK(C8:L8)&gt;0,"undone",AVERAGE(C8:L8))</f>
        <v>9.5599999999999973E-3</v>
      </c>
      <c r="D35" s="2">
        <f>IF(COUNTBLANK(O8:X8)&gt;0,"undone",AVERAGE(O8:X8))</f>
        <v>0.26630999999999999</v>
      </c>
      <c r="E35" s="2">
        <f>IF(COUNTBLANK(C17:L17)&gt;0,"undone",AVERAGE(C17:L17))</f>
        <v>1.0637199999999998</v>
      </c>
      <c r="F35" s="2">
        <f>IF(COUNTBLANK(O17:X17)&gt;0,"undone",AVERAGE(O17:X17))</f>
        <v>23.42755</v>
      </c>
      <c r="G35" s="2">
        <f>IF(COUNTBLANK(C26:L26)&gt;0,"undone",AVERAGE(C26:L26))</f>
        <v>95.326180000000008</v>
      </c>
      <c r="H35" s="2">
        <f>IF(COUNTBLANK(O26:X26)&gt;0,"undone",AVERAGE(O26:X26))</f>
        <v>2423.1844000000006</v>
      </c>
    </row>
    <row r="36" spans="2:8" x14ac:dyDescent="0.25">
      <c r="B36" s="2" t="s">
        <v>15</v>
      </c>
      <c r="C36" s="2">
        <f>IF(COUNTBLANK(C9:L9)&gt;0,"undone",AVERAGE(C9:L9))</f>
        <v>4.1400000000000005E-3</v>
      </c>
      <c r="D36" s="2">
        <f>IF(COUNTBLANK(O9:X9)&gt;0,"undone",AVERAGE(O9:X9))</f>
        <v>2.9650000000000003E-2</v>
      </c>
      <c r="E36" s="2">
        <f>IF(COUNTBLANK(C18:L18)&gt;0,"undone",AVERAGE(C18:L18))</f>
        <v>4.4389999999999999E-2</v>
      </c>
      <c r="F36" s="2">
        <f>IF(COUNTBLANK(O18:X18)&gt;0,"undone",AVERAGE(O18:X18))</f>
        <v>0.34113000000000004</v>
      </c>
      <c r="G36" s="2">
        <f>IF(COUNTBLANK(C27:L27)&gt;0,"undone",AVERAGE(C27:L27))</f>
        <v>0.78540999999999994</v>
      </c>
      <c r="H36" s="2">
        <f>IF(COUNTBLANK(O27:X27)&gt;0,"undone",AVERAGE(O27:X27))</f>
        <v>4.9083600000000001</v>
      </c>
    </row>
    <row r="37" spans="2:8" x14ac:dyDescent="0.25">
      <c r="B37" s="2" t="s">
        <v>16</v>
      </c>
      <c r="C37" s="2">
        <f>IF(COUNTBLANK(C10:L10)&gt;0,"undone",AVERAGE(C10:L10))</f>
        <v>1.7799999999999999E-3</v>
      </c>
      <c r="D37" s="2">
        <f>IF(COUNTBLANK(O10:X10)&gt;0,"undone",AVERAGE(O10:X10))</f>
        <v>1.6480000000000002E-2</v>
      </c>
      <c r="E37" s="2">
        <f>IF(COUNTBLANK(C19:L19)&gt;0,"undone",AVERAGE(C19:L19))</f>
        <v>2.5600000000000001E-2</v>
      </c>
      <c r="F37" s="2">
        <f>IF(COUNTBLANK(O19:X19)&gt;0,"undone",AVERAGE(O19:X19))</f>
        <v>0.22132000000000002</v>
      </c>
      <c r="G37" s="2">
        <f>IF(COUNTBLANK(C28:L28)&gt;0,"undone",AVERAGE(C28:L28))</f>
        <v>0.53208999999999995</v>
      </c>
      <c r="H37" s="2">
        <f>IF(COUNTBLANK(O28:X28)&gt;0,"undone",AVERAGE(O28:X28))</f>
        <v>3.3549199999999999</v>
      </c>
    </row>
  </sheetData>
  <mergeCells count="15">
    <mergeCell ref="N4:N5"/>
    <mergeCell ref="O4:X4"/>
    <mergeCell ref="A1:B1"/>
    <mergeCell ref="B31:B32"/>
    <mergeCell ref="B4:B5"/>
    <mergeCell ref="C4:L4"/>
    <mergeCell ref="C31:H31"/>
    <mergeCell ref="N22:N23"/>
    <mergeCell ref="O22:X22"/>
    <mergeCell ref="B13:B14"/>
    <mergeCell ref="C13:L13"/>
    <mergeCell ref="N13:N14"/>
    <mergeCell ref="O13:X13"/>
    <mergeCell ref="B22:B23"/>
    <mergeCell ref="C22:L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632D8-1977-426D-B5AA-0D92F8BDDCF6}">
  <dimension ref="A1:N17"/>
  <sheetViews>
    <sheetView workbookViewId="0">
      <selection activeCell="O24" sqref="O24"/>
    </sheetView>
  </sheetViews>
  <sheetFormatPr defaultRowHeight="13.8" x14ac:dyDescent="0.25"/>
  <sheetData>
    <row r="1" spans="1:2" x14ac:dyDescent="0.25">
      <c r="A1" s="5" t="s">
        <v>22</v>
      </c>
      <c r="B1" s="5"/>
    </row>
    <row r="17" spans="14:14" x14ac:dyDescent="0.25">
      <c r="N17" t="s">
        <v>23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37"/>
  <sheetViews>
    <sheetView zoomScale="70" zoomScaleNormal="70" workbookViewId="0">
      <selection activeCell="J36" sqref="J36"/>
    </sheetView>
  </sheetViews>
  <sheetFormatPr defaultRowHeight="13.8" x14ac:dyDescent="0.25"/>
  <cols>
    <col min="1" max="16384" width="8.796875" style="1"/>
  </cols>
  <sheetData>
    <row r="1" spans="1:24" x14ac:dyDescent="0.25">
      <c r="A1" s="8" t="s">
        <v>21</v>
      </c>
      <c r="B1" s="10"/>
    </row>
    <row r="3" spans="1:24" x14ac:dyDescent="0.25">
      <c r="B3" s="4" t="s">
        <v>19</v>
      </c>
      <c r="C3" s="1">
        <f>C32</f>
        <v>100</v>
      </c>
      <c r="N3" s="4" t="s">
        <v>19</v>
      </c>
      <c r="O3" s="1">
        <f>D32</f>
        <v>500</v>
      </c>
    </row>
    <row r="4" spans="1:24" x14ac:dyDescent="0.25">
      <c r="B4" s="6" t="s">
        <v>1</v>
      </c>
      <c r="C4" s="7" t="s">
        <v>18</v>
      </c>
      <c r="D4" s="11"/>
      <c r="E4" s="11"/>
      <c r="F4" s="11"/>
      <c r="G4" s="11"/>
      <c r="H4" s="11"/>
      <c r="I4" s="11"/>
      <c r="J4" s="11"/>
      <c r="K4" s="11"/>
      <c r="L4" s="12"/>
      <c r="N4" s="6" t="s">
        <v>1</v>
      </c>
      <c r="O4" s="7" t="s">
        <v>18</v>
      </c>
      <c r="P4" s="11"/>
      <c r="Q4" s="11"/>
      <c r="R4" s="11"/>
      <c r="S4" s="11"/>
      <c r="T4" s="11"/>
      <c r="U4" s="11"/>
      <c r="V4" s="11"/>
      <c r="W4" s="11"/>
      <c r="X4" s="12"/>
    </row>
    <row r="5" spans="1:24" x14ac:dyDescent="0.25">
      <c r="B5" s="13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3"/>
      <c r="O5" s="3" t="s">
        <v>2</v>
      </c>
      <c r="P5" s="3" t="s">
        <v>3</v>
      </c>
      <c r="Q5" s="3" t="s">
        <v>4</v>
      </c>
      <c r="R5" s="3" t="s">
        <v>5</v>
      </c>
      <c r="S5" s="3" t="s">
        <v>6</v>
      </c>
      <c r="T5" s="3" t="s">
        <v>7</v>
      </c>
      <c r="U5" s="3" t="s">
        <v>8</v>
      </c>
      <c r="V5" s="3" t="s">
        <v>9</v>
      </c>
      <c r="W5" s="3" t="s">
        <v>10</v>
      </c>
      <c r="X5" s="3" t="s">
        <v>11</v>
      </c>
    </row>
    <row r="6" spans="1:24" x14ac:dyDescent="0.25">
      <c r="B6" s="2" t="s">
        <v>14</v>
      </c>
      <c r="C6" s="2">
        <v>2.0000000000000001E-4</v>
      </c>
      <c r="D6" s="2">
        <v>2.0000000000000001E-4</v>
      </c>
      <c r="E6" s="2">
        <v>1E-4</v>
      </c>
      <c r="F6" s="2">
        <v>1E-4</v>
      </c>
      <c r="G6" s="2">
        <v>2.0000000000000001E-4</v>
      </c>
      <c r="H6" s="2">
        <v>2.0000000000000001E-4</v>
      </c>
      <c r="I6" s="2">
        <v>2.0000000000000001E-4</v>
      </c>
      <c r="J6" s="2">
        <v>1E-4</v>
      </c>
      <c r="K6" s="2">
        <v>1E-4</v>
      </c>
      <c r="L6" s="2">
        <v>2.0000000000000001E-4</v>
      </c>
      <c r="N6" s="2" t="s">
        <v>14</v>
      </c>
      <c r="O6" s="2">
        <v>8.9999999999999998E-4</v>
      </c>
      <c r="P6" s="2">
        <v>8.9999999999999998E-4</v>
      </c>
      <c r="Q6" s="2">
        <v>8.9999999999999998E-4</v>
      </c>
      <c r="R6" s="2">
        <v>8.9999999999999998E-4</v>
      </c>
      <c r="S6" s="2">
        <v>8.9999999999999998E-4</v>
      </c>
      <c r="T6" s="2">
        <v>8.9999999999999998E-4</v>
      </c>
      <c r="U6" s="2">
        <v>8.9999999999999998E-4</v>
      </c>
      <c r="V6" s="2">
        <v>8.9999999999999998E-4</v>
      </c>
      <c r="W6" s="2">
        <v>8.9999999999999998E-4</v>
      </c>
      <c r="X6" s="2">
        <v>8.9999999999999998E-4</v>
      </c>
    </row>
    <row r="7" spans="1:24" x14ac:dyDescent="0.25">
      <c r="B7" s="2" t="s">
        <v>12</v>
      </c>
      <c r="C7" s="2">
        <v>5.7000000000000002E-3</v>
      </c>
      <c r="D7" s="2">
        <v>5.1999999999999998E-3</v>
      </c>
      <c r="E7" s="2">
        <v>4.5999999999999999E-3</v>
      </c>
      <c r="F7" s="2">
        <v>4.5999999999999999E-3</v>
      </c>
      <c r="G7" s="2">
        <v>4.5999999999999999E-3</v>
      </c>
      <c r="H7" s="2">
        <v>4.4999999999999997E-3</v>
      </c>
      <c r="I7" s="2">
        <v>4.5999999999999999E-3</v>
      </c>
      <c r="J7" s="2">
        <v>4.5999999999999999E-3</v>
      </c>
      <c r="K7" s="2">
        <v>4.5999999999999999E-3</v>
      </c>
      <c r="L7" s="2">
        <v>4.5999999999999999E-3</v>
      </c>
      <c r="N7" s="2" t="s">
        <v>12</v>
      </c>
      <c r="O7" s="2">
        <v>0.1157</v>
      </c>
      <c r="P7" s="2">
        <v>0.11119999999999999</v>
      </c>
      <c r="Q7" s="2">
        <v>0.1114</v>
      </c>
      <c r="R7" s="2">
        <v>0.1114</v>
      </c>
      <c r="S7" s="2">
        <v>0.1113</v>
      </c>
      <c r="T7" s="2">
        <v>0.1114</v>
      </c>
      <c r="U7" s="2">
        <v>0.11119999999999999</v>
      </c>
      <c r="V7" s="2">
        <v>0.11119999999999999</v>
      </c>
      <c r="W7" s="2">
        <v>0.1113</v>
      </c>
      <c r="X7" s="2">
        <v>0.1113</v>
      </c>
    </row>
    <row r="8" spans="1:24" x14ac:dyDescent="0.25">
      <c r="B8" s="2" t="s">
        <v>13</v>
      </c>
      <c r="C8" s="2">
        <v>6.1999999999999998E-3</v>
      </c>
      <c r="D8" s="2">
        <v>6.1999999999999998E-3</v>
      </c>
      <c r="E8" s="2">
        <v>5.8999999999999999E-3</v>
      </c>
      <c r="F8" s="2">
        <v>5.8999999999999999E-3</v>
      </c>
      <c r="G8" s="2">
        <v>5.8999999999999999E-3</v>
      </c>
      <c r="H8" s="2">
        <v>5.8999999999999999E-3</v>
      </c>
      <c r="I8" s="2">
        <v>5.8999999999999999E-3</v>
      </c>
      <c r="J8" s="2">
        <v>5.8999999999999999E-3</v>
      </c>
      <c r="K8" s="2">
        <v>5.8999999999999999E-3</v>
      </c>
      <c r="L8" s="2">
        <v>6.0000000000000001E-3</v>
      </c>
      <c r="N8" s="2" t="s">
        <v>13</v>
      </c>
      <c r="O8" s="2">
        <v>0.14630000000000001</v>
      </c>
      <c r="P8" s="2">
        <v>0.14630000000000001</v>
      </c>
      <c r="Q8" s="2">
        <v>0.1462</v>
      </c>
      <c r="R8" s="2">
        <v>0.14610000000000001</v>
      </c>
      <c r="S8" s="2">
        <v>0.1462</v>
      </c>
      <c r="T8" s="2">
        <v>0.15040000000000001</v>
      </c>
      <c r="U8" s="2">
        <v>0.1462</v>
      </c>
      <c r="V8" s="2">
        <v>0.14630000000000001</v>
      </c>
      <c r="W8" s="2">
        <v>0.1462</v>
      </c>
      <c r="X8" s="2">
        <v>0.15090000000000001</v>
      </c>
    </row>
    <row r="9" spans="1:24" x14ac:dyDescent="0.25">
      <c r="B9" s="2" t="s">
        <v>15</v>
      </c>
      <c r="C9" s="2">
        <v>3.5999999999999999E-3</v>
      </c>
      <c r="D9" s="2">
        <v>2.8999999999999998E-3</v>
      </c>
      <c r="E9" s="2">
        <v>2.8999999999999998E-3</v>
      </c>
      <c r="F9" s="2">
        <v>2.8999999999999998E-3</v>
      </c>
      <c r="G9" s="2">
        <v>2.8999999999999998E-3</v>
      </c>
      <c r="H9" s="2">
        <v>2.8999999999999998E-3</v>
      </c>
      <c r="I9" s="2">
        <v>2.8E-3</v>
      </c>
      <c r="J9" s="2">
        <v>2.8999999999999998E-3</v>
      </c>
      <c r="K9" s="2">
        <v>2.8999999999999998E-3</v>
      </c>
      <c r="L9" s="2">
        <v>2.8E-3</v>
      </c>
      <c r="N9" s="2" t="s">
        <v>15</v>
      </c>
      <c r="O9" s="2">
        <v>1.7999999999999999E-2</v>
      </c>
      <c r="P9" s="2">
        <v>1.7500000000000002E-2</v>
      </c>
      <c r="Q9" s="2">
        <v>1.7399999999999999E-2</v>
      </c>
      <c r="R9" s="2">
        <v>1.7500000000000002E-2</v>
      </c>
      <c r="S9" s="2">
        <v>1.7299999999999999E-2</v>
      </c>
      <c r="T9" s="2">
        <v>1.7500000000000002E-2</v>
      </c>
      <c r="U9" s="2">
        <v>1.7500000000000002E-2</v>
      </c>
      <c r="V9" s="2">
        <v>1.7299999999999999E-2</v>
      </c>
      <c r="W9" s="2">
        <v>1.7399999999999999E-2</v>
      </c>
      <c r="X9" s="2">
        <v>1.7299999999999999E-2</v>
      </c>
    </row>
    <row r="10" spans="1:24" x14ac:dyDescent="0.25">
      <c r="B10" s="2" t="s">
        <v>16</v>
      </c>
      <c r="C10" s="2">
        <v>1.0800000000000001E-2</v>
      </c>
      <c r="D10" s="2">
        <v>4.8999999999999998E-3</v>
      </c>
      <c r="E10" s="2">
        <v>4.4999999999999997E-3</v>
      </c>
      <c r="F10" s="2">
        <v>4.4000000000000003E-3</v>
      </c>
      <c r="G10" s="2">
        <v>4.4999999999999997E-3</v>
      </c>
      <c r="H10" s="2">
        <v>4.3E-3</v>
      </c>
      <c r="I10" s="2">
        <v>4.3E-3</v>
      </c>
      <c r="J10" s="2">
        <v>4.4000000000000003E-3</v>
      </c>
      <c r="K10" s="2">
        <v>4.3E-3</v>
      </c>
      <c r="L10" s="2">
        <v>4.3E-3</v>
      </c>
      <c r="N10" s="2" t="s">
        <v>16</v>
      </c>
      <c r="O10" s="2">
        <v>8.7999999999999995E-2</v>
      </c>
      <c r="P10" s="2">
        <v>8.7800000000000003E-2</v>
      </c>
      <c r="Q10" s="2">
        <v>8.7800000000000003E-2</v>
      </c>
      <c r="R10" s="2">
        <v>8.7900000000000006E-2</v>
      </c>
      <c r="S10" s="2">
        <v>8.7900000000000006E-2</v>
      </c>
      <c r="T10" s="2">
        <v>8.7999999999999995E-2</v>
      </c>
      <c r="U10" s="2">
        <v>8.7999999999999995E-2</v>
      </c>
      <c r="V10" s="2">
        <v>8.7900000000000006E-2</v>
      </c>
      <c r="W10" s="2">
        <v>8.7999999999999995E-2</v>
      </c>
      <c r="X10" s="2">
        <v>8.7900000000000006E-2</v>
      </c>
    </row>
    <row r="12" spans="1:24" x14ac:dyDescent="0.25">
      <c r="B12" s="4" t="s">
        <v>19</v>
      </c>
      <c r="C12" s="1">
        <f>E32</f>
        <v>1000</v>
      </c>
      <c r="N12" s="4" t="s">
        <v>19</v>
      </c>
      <c r="O12" s="1">
        <f>F32</f>
        <v>5000</v>
      </c>
    </row>
    <row r="13" spans="1:24" x14ac:dyDescent="0.25">
      <c r="B13" s="6" t="s">
        <v>1</v>
      </c>
      <c r="C13" s="7" t="s">
        <v>18</v>
      </c>
      <c r="D13" s="11"/>
      <c r="E13" s="11"/>
      <c r="F13" s="11"/>
      <c r="G13" s="11"/>
      <c r="H13" s="11"/>
      <c r="I13" s="11"/>
      <c r="J13" s="11"/>
      <c r="K13" s="11"/>
      <c r="L13" s="12"/>
      <c r="N13" s="6" t="s">
        <v>1</v>
      </c>
      <c r="O13" s="7" t="s">
        <v>18</v>
      </c>
      <c r="P13" s="11"/>
      <c r="Q13" s="11"/>
      <c r="R13" s="11"/>
      <c r="S13" s="11"/>
      <c r="T13" s="11"/>
      <c r="U13" s="11"/>
      <c r="V13" s="11"/>
      <c r="W13" s="11"/>
      <c r="X13" s="12"/>
    </row>
    <row r="14" spans="1:24" x14ac:dyDescent="0.25">
      <c r="B14" s="13"/>
      <c r="C14" s="3" t="s">
        <v>2</v>
      </c>
      <c r="D14" s="3" t="s">
        <v>3</v>
      </c>
      <c r="E14" s="3" t="s">
        <v>4</v>
      </c>
      <c r="F14" s="3" t="s">
        <v>5</v>
      </c>
      <c r="G14" s="3" t="s">
        <v>6</v>
      </c>
      <c r="H14" s="3" t="s">
        <v>7</v>
      </c>
      <c r="I14" s="3" t="s">
        <v>8</v>
      </c>
      <c r="J14" s="3" t="s">
        <v>9</v>
      </c>
      <c r="K14" s="3" t="s">
        <v>10</v>
      </c>
      <c r="L14" s="3" t="s">
        <v>11</v>
      </c>
      <c r="N14" s="13"/>
      <c r="O14" s="3" t="s">
        <v>2</v>
      </c>
      <c r="P14" s="3" t="s">
        <v>3</v>
      </c>
      <c r="Q14" s="3" t="s">
        <v>4</v>
      </c>
      <c r="R14" s="3" t="s">
        <v>5</v>
      </c>
      <c r="S14" s="3" t="s">
        <v>6</v>
      </c>
      <c r="T14" s="3" t="s">
        <v>7</v>
      </c>
      <c r="U14" s="3" t="s">
        <v>8</v>
      </c>
      <c r="V14" s="3" t="s">
        <v>9</v>
      </c>
      <c r="W14" s="3" t="s">
        <v>10</v>
      </c>
      <c r="X14" s="3" t="s">
        <v>11</v>
      </c>
    </row>
    <row r="15" spans="1:24" x14ac:dyDescent="0.25">
      <c r="B15" s="2" t="s">
        <v>14</v>
      </c>
      <c r="C15" s="2">
        <v>1.8E-3</v>
      </c>
      <c r="D15" s="2">
        <v>1.8E-3</v>
      </c>
      <c r="E15" s="2">
        <v>1.8E-3</v>
      </c>
      <c r="F15" s="2">
        <v>1.9E-3</v>
      </c>
      <c r="G15" s="2">
        <v>1.8E-3</v>
      </c>
      <c r="H15" s="2">
        <v>1.9E-3</v>
      </c>
      <c r="I15" s="2">
        <v>1.8E-3</v>
      </c>
      <c r="J15" s="2">
        <v>1.8E-3</v>
      </c>
      <c r="K15" s="2">
        <v>1.8E-3</v>
      </c>
      <c r="L15" s="2">
        <v>1.8E-3</v>
      </c>
      <c r="N15" s="2" t="s">
        <v>14</v>
      </c>
      <c r="O15" s="2">
        <v>8.5000000000000006E-3</v>
      </c>
      <c r="P15" s="2">
        <v>8.3999999999999995E-3</v>
      </c>
      <c r="Q15" s="2">
        <v>8.8999999999999999E-3</v>
      </c>
      <c r="R15" s="2">
        <v>8.3999999999999995E-3</v>
      </c>
      <c r="S15" s="2">
        <v>8.3999999999999995E-3</v>
      </c>
      <c r="T15" s="2">
        <v>8.5000000000000006E-3</v>
      </c>
      <c r="U15" s="2">
        <v>8.3999999999999995E-3</v>
      </c>
      <c r="V15" s="2">
        <v>8.3999999999999995E-3</v>
      </c>
      <c r="W15" s="2">
        <v>8.3999999999999995E-3</v>
      </c>
      <c r="X15" s="2">
        <v>8.3999999999999995E-3</v>
      </c>
    </row>
    <row r="16" spans="1:24" x14ac:dyDescent="0.25">
      <c r="B16" s="2" t="s">
        <v>12</v>
      </c>
      <c r="C16" s="2">
        <v>0.4486</v>
      </c>
      <c r="D16" s="2">
        <v>0.44409999999999999</v>
      </c>
      <c r="E16" s="2">
        <v>0.4506</v>
      </c>
      <c r="F16" s="2">
        <v>0.44390000000000002</v>
      </c>
      <c r="G16" s="2">
        <v>0.44750000000000001</v>
      </c>
      <c r="H16" s="2">
        <v>0.44379999999999997</v>
      </c>
      <c r="I16" s="2">
        <v>0.44379999999999997</v>
      </c>
      <c r="J16" s="2">
        <v>0.44350000000000001</v>
      </c>
      <c r="K16" s="2">
        <v>0.44369999999999998</v>
      </c>
      <c r="L16" s="2">
        <v>0.44619999999999999</v>
      </c>
      <c r="N16" s="2" t="s">
        <v>12</v>
      </c>
      <c r="O16" s="2">
        <v>11.0426</v>
      </c>
      <c r="P16" s="2">
        <v>11.614800000000001</v>
      </c>
      <c r="Q16" s="2">
        <v>11.426500000000001</v>
      </c>
      <c r="R16" s="2">
        <v>12.161099999999999</v>
      </c>
      <c r="S16" s="2">
        <v>11.054399999999999</v>
      </c>
      <c r="T16" s="2">
        <v>11.632899999999999</v>
      </c>
      <c r="U16" s="2">
        <v>11.4293</v>
      </c>
      <c r="V16" s="2">
        <v>11.1236</v>
      </c>
      <c r="W16" s="2">
        <v>11.191599999999999</v>
      </c>
      <c r="X16" s="2">
        <v>11.475099999999999</v>
      </c>
    </row>
    <row r="17" spans="2:24" x14ac:dyDescent="0.25">
      <c r="B17" s="2" t="s">
        <v>13</v>
      </c>
      <c r="C17" s="2">
        <v>0.58499999999999996</v>
      </c>
      <c r="D17" s="2">
        <v>0.5847</v>
      </c>
      <c r="E17" s="2">
        <v>0.58809999999999996</v>
      </c>
      <c r="F17" s="2">
        <v>0.58479999999999999</v>
      </c>
      <c r="G17" s="2">
        <v>0.58479999999999999</v>
      </c>
      <c r="H17" s="2">
        <v>0.58679999999999999</v>
      </c>
      <c r="I17" s="2">
        <v>0.58479999999999999</v>
      </c>
      <c r="J17" s="2">
        <v>0.58450000000000002</v>
      </c>
      <c r="K17" s="2">
        <v>0.58809999999999996</v>
      </c>
      <c r="L17" s="2">
        <v>0.58479999999999999</v>
      </c>
      <c r="N17" s="2" t="s">
        <v>13</v>
      </c>
      <c r="O17" s="2">
        <v>15.2623</v>
      </c>
      <c r="P17" s="2">
        <v>14.686199999999999</v>
      </c>
      <c r="Q17" s="2">
        <v>14.870200000000001</v>
      </c>
      <c r="R17" s="2">
        <v>15.0558</v>
      </c>
      <c r="S17" s="2">
        <v>15.020899999999999</v>
      </c>
      <c r="T17" s="2">
        <v>14.7026</v>
      </c>
      <c r="U17" s="2">
        <v>15.3482</v>
      </c>
      <c r="V17" s="2">
        <v>14.5159</v>
      </c>
      <c r="W17" s="2">
        <v>15.292999999999999</v>
      </c>
      <c r="X17" s="2">
        <v>14.783799999999999</v>
      </c>
    </row>
    <row r="18" spans="2:24" x14ac:dyDescent="0.25">
      <c r="B18" s="2" t="s">
        <v>15</v>
      </c>
      <c r="C18" s="2">
        <v>3.7900000000000003E-2</v>
      </c>
      <c r="D18" s="2">
        <v>3.7400000000000003E-2</v>
      </c>
      <c r="E18" s="2">
        <v>3.7499999999999999E-2</v>
      </c>
      <c r="F18" s="2">
        <v>3.7499999999999999E-2</v>
      </c>
      <c r="G18" s="2">
        <v>3.7400000000000003E-2</v>
      </c>
      <c r="H18" s="2">
        <v>3.7400000000000003E-2</v>
      </c>
      <c r="I18" s="2">
        <v>3.7600000000000001E-2</v>
      </c>
      <c r="J18" s="2">
        <v>3.73E-2</v>
      </c>
      <c r="K18" s="2">
        <v>3.7199999999999997E-2</v>
      </c>
      <c r="L18" s="2">
        <v>3.7600000000000001E-2</v>
      </c>
      <c r="N18" s="2" t="s">
        <v>15</v>
      </c>
      <c r="O18" s="2">
        <v>0.222</v>
      </c>
      <c r="P18" s="2">
        <v>0.21679999999999999</v>
      </c>
      <c r="Q18" s="2">
        <v>0.21690000000000001</v>
      </c>
      <c r="R18" s="2">
        <v>0.2167</v>
      </c>
      <c r="S18" s="2">
        <v>0.21629999999999999</v>
      </c>
      <c r="T18" s="2">
        <v>0.21679999999999999</v>
      </c>
      <c r="U18" s="2">
        <v>0.21690000000000001</v>
      </c>
      <c r="V18" s="2">
        <v>0.2198</v>
      </c>
      <c r="W18" s="2">
        <v>0.2167</v>
      </c>
      <c r="X18" s="2">
        <v>0.21659999999999999</v>
      </c>
    </row>
    <row r="19" spans="2:24" x14ac:dyDescent="0.25">
      <c r="B19" s="2" t="s">
        <v>16</v>
      </c>
      <c r="C19" s="2">
        <v>0.40770000000000001</v>
      </c>
      <c r="D19" s="2">
        <v>0.60060000000000002</v>
      </c>
      <c r="E19" s="2">
        <v>0.4597</v>
      </c>
      <c r="F19" s="2">
        <v>0.41349999999999998</v>
      </c>
      <c r="G19" s="2">
        <v>0.40920000000000001</v>
      </c>
      <c r="H19" s="2">
        <v>0.41420000000000001</v>
      </c>
      <c r="I19" s="2">
        <v>0.41289999999999999</v>
      </c>
      <c r="J19" s="2">
        <v>0.40789999999999998</v>
      </c>
      <c r="K19" s="2">
        <v>0.40839999999999999</v>
      </c>
      <c r="L19" s="2">
        <v>0.40400000000000003</v>
      </c>
      <c r="N19" s="2" t="s">
        <v>16</v>
      </c>
      <c r="O19" s="2">
        <v>9.8001000000000005</v>
      </c>
      <c r="P19" s="2">
        <v>9.4856999999999996</v>
      </c>
      <c r="Q19" s="2">
        <v>9.8346999999999998</v>
      </c>
      <c r="R19" s="2">
        <v>9.1980000000000004</v>
      </c>
      <c r="S19" s="2">
        <v>9.7324000000000002</v>
      </c>
      <c r="T19" s="2">
        <v>9.3353999999999999</v>
      </c>
      <c r="U19" s="2">
        <v>9.6067999999999998</v>
      </c>
      <c r="V19" s="2">
        <v>9.9581</v>
      </c>
      <c r="W19" s="2">
        <v>9.2865000000000002</v>
      </c>
      <c r="X19" s="2">
        <v>9.4220000000000006</v>
      </c>
    </row>
    <row r="21" spans="2:24" x14ac:dyDescent="0.25">
      <c r="B21" s="4" t="s">
        <v>19</v>
      </c>
      <c r="C21" s="1">
        <f>G32</f>
        <v>10000</v>
      </c>
      <c r="N21" s="4" t="s">
        <v>19</v>
      </c>
      <c r="O21" s="1">
        <f>H32</f>
        <v>50000</v>
      </c>
    </row>
    <row r="22" spans="2:24" x14ac:dyDescent="0.25">
      <c r="B22" s="6" t="s">
        <v>1</v>
      </c>
      <c r="C22" s="7" t="s">
        <v>18</v>
      </c>
      <c r="D22" s="11"/>
      <c r="E22" s="11"/>
      <c r="F22" s="11"/>
      <c r="G22" s="11"/>
      <c r="H22" s="11"/>
      <c r="I22" s="11"/>
      <c r="J22" s="11"/>
      <c r="K22" s="11"/>
      <c r="L22" s="12"/>
      <c r="N22" s="6" t="s">
        <v>1</v>
      </c>
      <c r="O22" s="7" t="s">
        <v>18</v>
      </c>
      <c r="P22" s="11"/>
      <c r="Q22" s="11"/>
      <c r="R22" s="11"/>
      <c r="S22" s="11"/>
      <c r="T22" s="11"/>
      <c r="U22" s="11"/>
      <c r="V22" s="11"/>
      <c r="W22" s="11"/>
      <c r="X22" s="12"/>
    </row>
    <row r="23" spans="2:24" x14ac:dyDescent="0.25">
      <c r="B23" s="13"/>
      <c r="C23" s="3" t="s">
        <v>2</v>
      </c>
      <c r="D23" s="3" t="s">
        <v>3</v>
      </c>
      <c r="E23" s="3" t="s">
        <v>4</v>
      </c>
      <c r="F23" s="3" t="s">
        <v>5</v>
      </c>
      <c r="G23" s="3" t="s">
        <v>6</v>
      </c>
      <c r="H23" s="3" t="s">
        <v>7</v>
      </c>
      <c r="I23" s="3" t="s">
        <v>8</v>
      </c>
      <c r="J23" s="3" t="s">
        <v>9</v>
      </c>
      <c r="K23" s="3" t="s">
        <v>10</v>
      </c>
      <c r="L23" s="3" t="s">
        <v>11</v>
      </c>
      <c r="N23" s="13"/>
      <c r="O23" s="3" t="s">
        <v>2</v>
      </c>
      <c r="P23" s="3" t="s">
        <v>3</v>
      </c>
      <c r="Q23" s="3" t="s">
        <v>4</v>
      </c>
      <c r="R23" s="3" t="s">
        <v>5</v>
      </c>
      <c r="S23" s="3" t="s">
        <v>6</v>
      </c>
      <c r="T23" s="3" t="s">
        <v>7</v>
      </c>
      <c r="U23" s="3" t="s">
        <v>8</v>
      </c>
      <c r="V23" s="3" t="s">
        <v>9</v>
      </c>
      <c r="W23" s="3" t="s">
        <v>10</v>
      </c>
      <c r="X23" s="3" t="s">
        <v>11</v>
      </c>
    </row>
    <row r="24" spans="2:24" x14ac:dyDescent="0.25">
      <c r="B24" s="2" t="s">
        <v>14</v>
      </c>
      <c r="C24" s="2">
        <v>1.6E-2</v>
      </c>
      <c r="D24" s="2">
        <v>1.6E-2</v>
      </c>
      <c r="E24" s="2">
        <v>1.5900000000000001E-2</v>
      </c>
      <c r="F24" s="2">
        <v>1.6E-2</v>
      </c>
      <c r="G24" s="2">
        <v>1.5900000000000001E-2</v>
      </c>
      <c r="H24" s="2">
        <v>1.5900000000000001E-2</v>
      </c>
      <c r="I24" s="2">
        <v>1.6E-2</v>
      </c>
      <c r="J24" s="2">
        <v>1.5900000000000001E-2</v>
      </c>
      <c r="K24" s="2">
        <v>1.6E-2</v>
      </c>
      <c r="L24" s="2">
        <v>1.6E-2</v>
      </c>
      <c r="N24" s="2" t="s">
        <v>14</v>
      </c>
      <c r="O24" s="2">
        <v>9.7799999999999998E-2</v>
      </c>
      <c r="P24" s="2">
        <v>9.6299999999999997E-2</v>
      </c>
      <c r="Q24" s="2">
        <v>9.9299999999999999E-2</v>
      </c>
      <c r="R24" s="2">
        <v>9.5399999999999999E-2</v>
      </c>
      <c r="S24" s="2">
        <v>9.9099999999999994E-2</v>
      </c>
      <c r="T24" s="2">
        <v>8.8999999999999996E-2</v>
      </c>
      <c r="U24" s="2">
        <v>8.8599999999999998E-2</v>
      </c>
      <c r="V24" s="2">
        <v>8.8599999999999998E-2</v>
      </c>
      <c r="W24" s="2">
        <v>8.8599999999999998E-2</v>
      </c>
      <c r="X24" s="2">
        <v>8.8400000000000006E-2</v>
      </c>
    </row>
    <row r="25" spans="2:24" x14ac:dyDescent="0.25">
      <c r="B25" s="2" t="s">
        <v>12</v>
      </c>
      <c r="C25" s="2">
        <v>43.956299999999999</v>
      </c>
      <c r="D25" s="2">
        <v>47.018099999999997</v>
      </c>
      <c r="E25" s="2">
        <v>50.816600000000001</v>
      </c>
      <c r="F25" s="2">
        <v>45.354100000000003</v>
      </c>
      <c r="G25" s="2">
        <v>45.864199999999997</v>
      </c>
      <c r="H25" s="2">
        <v>45.458300000000001</v>
      </c>
      <c r="I25" s="2">
        <v>43.521299999999997</v>
      </c>
      <c r="J25" s="2">
        <v>42.778700000000001</v>
      </c>
      <c r="K25" s="2">
        <v>43.060299999999998</v>
      </c>
      <c r="L25" s="2">
        <v>43.732700000000001</v>
      </c>
      <c r="N25" s="2" t="s">
        <v>12</v>
      </c>
      <c r="O25" s="2">
        <v>1205.9837</v>
      </c>
      <c r="P25" s="2">
        <v>1638.5706</v>
      </c>
      <c r="Q25" s="2">
        <v>1661.7444</v>
      </c>
      <c r="R25" s="2">
        <v>1625.0369000000001</v>
      </c>
      <c r="S25" s="2">
        <v>1622.0289</v>
      </c>
      <c r="T25" s="2">
        <v>1659.8554999999999</v>
      </c>
      <c r="U25" s="2">
        <v>1560.0806</v>
      </c>
      <c r="V25" s="2">
        <v>1578.2026000000001</v>
      </c>
      <c r="W25" s="2">
        <v>1615.7471</v>
      </c>
      <c r="X25" s="2">
        <v>1619.6980000000001</v>
      </c>
    </row>
    <row r="26" spans="2:24" x14ac:dyDescent="0.25">
      <c r="B26" s="2" t="s">
        <v>13</v>
      </c>
      <c r="C26" s="2">
        <v>57.050600000000003</v>
      </c>
      <c r="D26" s="2">
        <v>59.419800000000002</v>
      </c>
      <c r="E26" s="2">
        <v>60.781999999999996</v>
      </c>
      <c r="F26" s="2">
        <v>58.686199999999999</v>
      </c>
      <c r="G26" s="2">
        <v>63.0807</v>
      </c>
      <c r="H26" s="2">
        <v>60.058399999999999</v>
      </c>
      <c r="I26" s="2">
        <v>60.618600000000001</v>
      </c>
      <c r="J26" s="2">
        <v>62.023699999999998</v>
      </c>
      <c r="K26" s="2">
        <v>61.230200000000004</v>
      </c>
      <c r="L26" s="2">
        <v>59.590299999999999</v>
      </c>
      <c r="N26" s="2" t="s">
        <v>13</v>
      </c>
      <c r="O26" s="2">
        <v>1528.5590999999999</v>
      </c>
      <c r="P26" s="2">
        <v>1515.3344999999999</v>
      </c>
      <c r="Q26" s="2">
        <v>1518.1469999999999</v>
      </c>
      <c r="R26" s="2">
        <v>1489.0852</v>
      </c>
      <c r="S26" s="2">
        <v>1472.1224999999999</v>
      </c>
      <c r="T26" s="2">
        <v>1468.0283999999999</v>
      </c>
      <c r="U26" s="2">
        <v>1526.2985000000001</v>
      </c>
      <c r="V26" s="2">
        <v>1511.4191000000001</v>
      </c>
      <c r="W26" s="2">
        <v>1499.7338</v>
      </c>
      <c r="X26" s="2">
        <v>1461.9425000000001</v>
      </c>
    </row>
    <row r="27" spans="2:24" x14ac:dyDescent="0.25">
      <c r="B27" s="2" t="s">
        <v>15</v>
      </c>
      <c r="C27" s="2">
        <v>0.47349999999999998</v>
      </c>
      <c r="D27" s="2">
        <v>0.46579999999999999</v>
      </c>
      <c r="E27" s="2">
        <v>0.4642</v>
      </c>
      <c r="F27" s="2">
        <v>0.48220000000000002</v>
      </c>
      <c r="G27" s="2">
        <v>0.4698</v>
      </c>
      <c r="H27" s="2">
        <v>0.46529999999999999</v>
      </c>
      <c r="I27" s="2">
        <v>0.46589999999999998</v>
      </c>
      <c r="J27" s="2">
        <v>0.46460000000000001</v>
      </c>
      <c r="K27" s="2">
        <v>0.60599999999999998</v>
      </c>
      <c r="L27" s="2">
        <v>0.70720000000000005</v>
      </c>
      <c r="N27" s="2" t="s">
        <v>15</v>
      </c>
      <c r="O27" s="2">
        <v>2.9761000000000002</v>
      </c>
      <c r="P27" s="2">
        <v>2.5329999999999999</v>
      </c>
      <c r="Q27" s="2">
        <v>2.4996999999999998</v>
      </c>
      <c r="R27" s="2">
        <v>2.5211999999999999</v>
      </c>
      <c r="S27" s="2">
        <v>2.5223</v>
      </c>
      <c r="T27" s="2">
        <v>2.5257000000000001</v>
      </c>
      <c r="U27" s="2">
        <v>2.8889999999999998</v>
      </c>
      <c r="V27" s="2">
        <v>2.4958</v>
      </c>
      <c r="W27" s="2">
        <v>2.4750999999999999</v>
      </c>
      <c r="X27" s="2">
        <v>2.4815999999999998</v>
      </c>
    </row>
    <row r="28" spans="2:24" x14ac:dyDescent="0.25">
      <c r="B28" s="2" t="s">
        <v>16</v>
      </c>
      <c r="C28" s="2">
        <v>40.399299999999997</v>
      </c>
      <c r="D28" s="2">
        <v>40.592599999999997</v>
      </c>
      <c r="E28" s="2">
        <v>39.578299999999999</v>
      </c>
      <c r="F28" s="2">
        <v>40.654200000000003</v>
      </c>
      <c r="G28" s="2">
        <v>40.483800000000002</v>
      </c>
      <c r="H28" s="2">
        <v>40.684100000000001</v>
      </c>
      <c r="I28" s="2">
        <v>40.582799999999999</v>
      </c>
      <c r="J28" s="2">
        <v>40.0383</v>
      </c>
      <c r="K28" s="2">
        <v>40.058900000000001</v>
      </c>
      <c r="L28" s="2">
        <v>40.997100000000003</v>
      </c>
      <c r="N28" s="2" t="s">
        <v>16</v>
      </c>
      <c r="O28" s="2">
        <v>964.99519999999995</v>
      </c>
      <c r="P28" s="2">
        <v>972.25599999999997</v>
      </c>
      <c r="Q28" s="2">
        <v>1012.2445</v>
      </c>
      <c r="R28" s="2">
        <v>991.51170000000002</v>
      </c>
      <c r="S28" s="2">
        <v>996.05719999999997</v>
      </c>
      <c r="T28" s="2">
        <v>1304.6711</v>
      </c>
      <c r="U28" s="2">
        <v>1400.7298000000001</v>
      </c>
      <c r="V28" s="2">
        <v>1314.1836000000001</v>
      </c>
      <c r="W28" s="2">
        <v>1388.5877</v>
      </c>
      <c r="X28" s="2">
        <v>1375.0432000000001</v>
      </c>
    </row>
    <row r="31" spans="2:24" x14ac:dyDescent="0.25">
      <c r="B31" s="6" t="s">
        <v>1</v>
      </c>
      <c r="C31" s="9" t="s">
        <v>17</v>
      </c>
      <c r="D31" s="11"/>
      <c r="E31" s="11"/>
      <c r="F31" s="11"/>
      <c r="G31" s="11"/>
      <c r="H31" s="12"/>
    </row>
    <row r="32" spans="2:24" x14ac:dyDescent="0.25">
      <c r="B32" s="13"/>
      <c r="C32" s="2">
        <v>100</v>
      </c>
      <c r="D32" s="2">
        <v>500</v>
      </c>
      <c r="E32" s="2">
        <v>1000</v>
      </c>
      <c r="F32" s="2">
        <v>5000</v>
      </c>
      <c r="G32" s="2">
        <v>10000</v>
      </c>
      <c r="H32" s="2">
        <v>50000</v>
      </c>
    </row>
    <row r="33" spans="2:8" x14ac:dyDescent="0.25">
      <c r="B33" s="2" t="s">
        <v>14</v>
      </c>
      <c r="C33" s="2">
        <f>IF(COUNTBLANK(C6:L6)&gt;0,"undone",AVERAGE(C6:L6))</f>
        <v>1.6000000000000004E-4</v>
      </c>
      <c r="D33" s="2">
        <f>IF(COUNTBLANK(O6:X6)&gt;0,"undone",AVERAGE(O6:X6))</f>
        <v>8.9999999999999998E-4</v>
      </c>
      <c r="E33" s="2">
        <f>IF(COUNTBLANK(C15:L15)&gt;0,"undone",AVERAGE(C15:L15))</f>
        <v>1.82E-3</v>
      </c>
      <c r="F33" s="2">
        <f>IF(COUNTBLANK(O15:X15)&gt;0,"undone",AVERAGE(O15:X15))</f>
        <v>8.4700000000000001E-3</v>
      </c>
      <c r="G33" s="2">
        <f>IF(COUNTBLANK(C24:L24)&gt;0,"undone",AVERAGE(C24:L24))</f>
        <v>1.5960000000000002E-2</v>
      </c>
      <c r="H33" s="2">
        <f>IF(COUNTBLANK(O24:X24)&gt;0,"undone",AVERAGE(O24:X24))</f>
        <v>9.3109999999999998E-2</v>
      </c>
    </row>
    <row r="34" spans="2:8" x14ac:dyDescent="0.25">
      <c r="B34" s="2" t="s">
        <v>12</v>
      </c>
      <c r="C34" s="2">
        <f>IF(COUNTBLANK(C7:L7)&gt;0,"undone",AVERAGE(C7:L7))</f>
        <v>4.7599999999999995E-3</v>
      </c>
      <c r="D34" s="2">
        <f>IF(COUNTBLANK(O7:X7)&gt;0,"undone",AVERAGE(O7:X7))</f>
        <v>0.11173999999999998</v>
      </c>
      <c r="E34" s="2">
        <f>IF(COUNTBLANK(C16:L16)&gt;0,"undone",AVERAGE(C16:L16))</f>
        <v>0.44557000000000002</v>
      </c>
      <c r="F34" s="2">
        <f>IF(COUNTBLANK(O16:X16)&gt;0,"undone",AVERAGE(O16:X16))</f>
        <v>11.415189999999999</v>
      </c>
      <c r="G34" s="2">
        <f>IF(COUNTBLANK(C25:L25)&gt;0,"undone",AVERAGE(C25:L25))</f>
        <v>45.156060000000004</v>
      </c>
      <c r="H34" s="2">
        <f>IF(COUNTBLANK(O25:X25)&gt;0,"undone",AVERAGE(O25:X25))</f>
        <v>1578.6948299999999</v>
      </c>
    </row>
    <row r="35" spans="2:8" x14ac:dyDescent="0.25">
      <c r="B35" s="2" t="s">
        <v>13</v>
      </c>
      <c r="C35" s="2">
        <f>IF(COUNTBLANK(C8:L8)&gt;0,"undone",AVERAGE(C8:L8))</f>
        <v>5.9700000000000005E-3</v>
      </c>
      <c r="D35" s="2">
        <f>IF(COUNTBLANK(O8:X8)&gt;0,"undone",AVERAGE(O8:X8))</f>
        <v>0.14710999999999999</v>
      </c>
      <c r="E35" s="2">
        <f>IF(COUNTBLANK(C17:L17)&gt;0,"undone",AVERAGE(C17:L17))</f>
        <v>0.58564000000000005</v>
      </c>
      <c r="F35" s="2">
        <f>IF(COUNTBLANK(O17:X17)&gt;0,"undone",AVERAGE(O17:X17))</f>
        <v>14.953890000000001</v>
      </c>
      <c r="G35" s="2">
        <f>IF(COUNTBLANK(C26:L26)&gt;0,"undone",AVERAGE(C26:L26))</f>
        <v>60.254049999999992</v>
      </c>
      <c r="H35" s="2">
        <f>IF(COUNTBLANK(O26:X26)&gt;0,"undone",AVERAGE(O26:X26))</f>
        <v>1499.0670599999999</v>
      </c>
    </row>
    <row r="36" spans="2:8" x14ac:dyDescent="0.25">
      <c r="B36" s="2" t="s">
        <v>15</v>
      </c>
      <c r="C36" s="2">
        <f>IF(COUNTBLANK(C9:L9)&gt;0,"undone",AVERAGE(C9:L9))</f>
        <v>2.9499999999999999E-3</v>
      </c>
      <c r="D36" s="2">
        <f>IF(COUNTBLANK(O9:X9)&gt;0,"undone",AVERAGE(O9:X9))</f>
        <v>1.7470000000000003E-2</v>
      </c>
      <c r="E36" s="2">
        <f>IF(COUNTBLANK(C18:L18)&gt;0,"undone",AVERAGE(C18:L18))</f>
        <v>3.7480000000000006E-2</v>
      </c>
      <c r="F36" s="2">
        <f>IF(COUNTBLANK(O18:X18)&gt;0,"undone",AVERAGE(O18:X18))</f>
        <v>0.21754999999999999</v>
      </c>
      <c r="G36" s="2">
        <f>IF(COUNTBLANK(C27:L27)&gt;0,"undone",AVERAGE(C27:L27))</f>
        <v>0.50645000000000007</v>
      </c>
      <c r="H36" s="2">
        <f>IF(COUNTBLANK(O27:X27)&gt;0,"undone",AVERAGE(O27:X27))</f>
        <v>2.5919500000000002</v>
      </c>
    </row>
    <row r="37" spans="2:8" x14ac:dyDescent="0.25">
      <c r="B37" s="2" t="s">
        <v>16</v>
      </c>
      <c r="C37" s="2">
        <f>IF(COUNTBLANK(C10:L10)&gt;0,"undone",AVERAGE(C10:L10))</f>
        <v>5.0699999999999999E-3</v>
      </c>
      <c r="D37" s="2">
        <f>IF(COUNTBLANK(O10:X10)&gt;0,"undone",AVERAGE(O10:X10))</f>
        <v>8.7919999999999984E-2</v>
      </c>
      <c r="E37" s="2">
        <f>IF(COUNTBLANK(C19:L19)&gt;0,"undone",AVERAGE(C19:L19))</f>
        <v>0.43381000000000008</v>
      </c>
      <c r="F37" s="2">
        <f>IF(COUNTBLANK(O19:X19)&gt;0,"undone",AVERAGE(O19:X19))</f>
        <v>9.5659700000000001</v>
      </c>
      <c r="G37" s="2">
        <f>IF(COUNTBLANK(C28:L28)&gt;0,"undone",AVERAGE(C28:L28))</f>
        <v>40.406939999999999</v>
      </c>
      <c r="H37" s="2">
        <f>IF(COUNTBLANK(O28:X28)&gt;0,"undone",AVERAGE(O28:X28))</f>
        <v>1172.0279999999998</v>
      </c>
    </row>
  </sheetData>
  <mergeCells count="15">
    <mergeCell ref="B13:B14"/>
    <mergeCell ref="C13:L13"/>
    <mergeCell ref="N13:N14"/>
    <mergeCell ref="O13:X13"/>
    <mergeCell ref="A1:B1"/>
    <mergeCell ref="B4:B5"/>
    <mergeCell ref="C4:L4"/>
    <mergeCell ref="N4:N5"/>
    <mergeCell ref="O4:X4"/>
    <mergeCell ref="B22:B23"/>
    <mergeCell ref="C22:L22"/>
    <mergeCell ref="N22:N23"/>
    <mergeCell ref="O22:X22"/>
    <mergeCell ref="B31:B32"/>
    <mergeCell ref="C31:H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99E2-2DA7-4626-9652-739F9D37606F}">
  <dimension ref="A1:N17"/>
  <sheetViews>
    <sheetView tabSelected="1" topLeftCell="A2" zoomScale="110" workbookViewId="0">
      <selection activeCell="H23" sqref="H23"/>
    </sheetView>
  </sheetViews>
  <sheetFormatPr defaultRowHeight="13.8" x14ac:dyDescent="0.25"/>
  <sheetData>
    <row r="1" spans="1:2" x14ac:dyDescent="0.25">
      <c r="A1" s="5" t="s">
        <v>25</v>
      </c>
      <c r="B1" s="5"/>
    </row>
    <row r="17" spans="14:14" x14ac:dyDescent="0.25">
      <c r="N17" t="s">
        <v>23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37"/>
  <sheetViews>
    <sheetView workbookViewId="0">
      <selection activeCell="J33" sqref="A1:XFD1048576"/>
    </sheetView>
  </sheetViews>
  <sheetFormatPr defaultRowHeight="13.8" x14ac:dyDescent="0.25"/>
  <cols>
    <col min="1" max="16384" width="8.796875" style="1"/>
  </cols>
  <sheetData>
    <row r="1" spans="1:24" x14ac:dyDescent="0.25">
      <c r="A1" s="8" t="s">
        <v>20</v>
      </c>
      <c r="B1" s="10"/>
    </row>
    <row r="3" spans="1:24" x14ac:dyDescent="0.25">
      <c r="B3" s="4" t="s">
        <v>19</v>
      </c>
      <c r="C3" s="1">
        <f>C32</f>
        <v>100</v>
      </c>
      <c r="N3" s="4" t="s">
        <v>19</v>
      </c>
      <c r="O3" s="1">
        <f>D32</f>
        <v>500</v>
      </c>
    </row>
    <row r="4" spans="1:24" x14ac:dyDescent="0.25">
      <c r="B4" s="6" t="s">
        <v>1</v>
      </c>
      <c r="C4" s="7" t="s">
        <v>18</v>
      </c>
      <c r="D4" s="11"/>
      <c r="E4" s="11"/>
      <c r="F4" s="11"/>
      <c r="G4" s="11"/>
      <c r="H4" s="11"/>
      <c r="I4" s="11"/>
      <c r="J4" s="11"/>
      <c r="K4" s="11"/>
      <c r="L4" s="12"/>
      <c r="N4" s="6" t="s">
        <v>1</v>
      </c>
      <c r="O4" s="7" t="s">
        <v>18</v>
      </c>
      <c r="P4" s="11"/>
      <c r="Q4" s="11"/>
      <c r="R4" s="11"/>
      <c r="S4" s="11"/>
      <c r="T4" s="11"/>
      <c r="U4" s="11"/>
      <c r="V4" s="11"/>
      <c r="W4" s="11"/>
      <c r="X4" s="12"/>
    </row>
    <row r="5" spans="1:24" x14ac:dyDescent="0.25">
      <c r="B5" s="13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3"/>
      <c r="O5" s="3" t="s">
        <v>2</v>
      </c>
      <c r="P5" s="3" t="s">
        <v>3</v>
      </c>
      <c r="Q5" s="3" t="s">
        <v>4</v>
      </c>
      <c r="R5" s="3" t="s">
        <v>5</v>
      </c>
      <c r="S5" s="3" t="s">
        <v>6</v>
      </c>
      <c r="T5" s="3" t="s">
        <v>7</v>
      </c>
      <c r="U5" s="3" t="s">
        <v>8</v>
      </c>
      <c r="V5" s="3" t="s">
        <v>9</v>
      </c>
      <c r="W5" s="3" t="s">
        <v>10</v>
      </c>
      <c r="X5" s="3" t="s">
        <v>11</v>
      </c>
    </row>
    <row r="6" spans="1:24" x14ac:dyDescent="0.25">
      <c r="B6" s="2" t="s">
        <v>14</v>
      </c>
      <c r="C6" s="2">
        <v>1.06E-2</v>
      </c>
      <c r="D6" s="2">
        <v>1.0200000000000001E-2</v>
      </c>
      <c r="E6" s="2">
        <v>9.9000000000000008E-3</v>
      </c>
      <c r="F6" s="2">
        <v>9.9000000000000008E-3</v>
      </c>
      <c r="G6" s="2">
        <v>9.7999999999999997E-3</v>
      </c>
      <c r="H6" s="2">
        <v>9.9000000000000008E-3</v>
      </c>
      <c r="I6" s="2">
        <v>9.7999999999999997E-3</v>
      </c>
      <c r="J6" s="2">
        <v>9.7999999999999997E-3</v>
      </c>
      <c r="K6" s="2">
        <v>9.7999999999999997E-3</v>
      </c>
      <c r="L6" s="2">
        <v>9.7999999999999997E-3</v>
      </c>
      <c r="N6" s="2" t="s">
        <v>14</v>
      </c>
      <c r="O6" s="2">
        <v>0.25209999999999999</v>
      </c>
      <c r="P6" s="2">
        <v>0.26069999999999999</v>
      </c>
      <c r="Q6" s="2">
        <v>0.24429999999999999</v>
      </c>
      <c r="R6" s="2">
        <v>0.24410000000000001</v>
      </c>
      <c r="S6" s="2">
        <v>0.24440000000000001</v>
      </c>
      <c r="T6" s="2">
        <v>0.24410000000000001</v>
      </c>
      <c r="U6" s="2">
        <v>0.24429999999999999</v>
      </c>
      <c r="V6" s="2">
        <v>0.24390000000000001</v>
      </c>
      <c r="W6" s="2">
        <v>0.2492</v>
      </c>
      <c r="X6" s="2">
        <v>0.24429999999999999</v>
      </c>
    </row>
    <row r="7" spans="1:24" x14ac:dyDescent="0.25">
      <c r="B7" s="2" t="s">
        <v>12</v>
      </c>
      <c r="C7" s="2">
        <v>8.6E-3</v>
      </c>
      <c r="D7" s="2">
        <v>8.6E-3</v>
      </c>
      <c r="E7" s="2">
        <v>7.7000000000000002E-3</v>
      </c>
      <c r="F7" s="2">
        <v>7.1000000000000004E-3</v>
      </c>
      <c r="G7" s="2">
        <v>7.1000000000000004E-3</v>
      </c>
      <c r="H7" s="2">
        <v>7.1000000000000004E-3</v>
      </c>
      <c r="I7" s="2">
        <v>7.1000000000000004E-3</v>
      </c>
      <c r="J7" s="2">
        <v>7.0000000000000001E-3</v>
      </c>
      <c r="K7" s="2">
        <v>7.1000000000000004E-3</v>
      </c>
      <c r="L7" s="2">
        <v>7.0000000000000001E-3</v>
      </c>
      <c r="N7" s="2" t="s">
        <v>12</v>
      </c>
      <c r="O7" s="2">
        <v>0.16250000000000001</v>
      </c>
      <c r="P7" s="2">
        <v>0.16200000000000001</v>
      </c>
      <c r="Q7" s="2">
        <v>0.16209999999999999</v>
      </c>
      <c r="R7" s="2">
        <v>0.16189999999999999</v>
      </c>
      <c r="S7" s="2">
        <v>0.1618</v>
      </c>
      <c r="T7" s="2">
        <v>0.16189999999999999</v>
      </c>
      <c r="U7" s="2">
        <v>0.1618</v>
      </c>
      <c r="V7" s="2">
        <v>0.1618</v>
      </c>
      <c r="W7" s="2">
        <v>0.16170000000000001</v>
      </c>
      <c r="X7" s="2">
        <v>0.1618</v>
      </c>
    </row>
    <row r="8" spans="1:24" x14ac:dyDescent="0.25">
      <c r="B8" s="2" t="s">
        <v>13</v>
      </c>
      <c r="C8" s="2">
        <v>1.7299999999999999E-2</v>
      </c>
      <c r="D8" s="2">
        <v>1.7399999999999999E-2</v>
      </c>
      <c r="E8" s="2">
        <v>1.7500000000000002E-2</v>
      </c>
      <c r="F8" s="2">
        <v>1.7600000000000001E-2</v>
      </c>
      <c r="G8" s="2">
        <v>1.7600000000000001E-2</v>
      </c>
      <c r="H8" s="2">
        <v>1.7600000000000001E-2</v>
      </c>
      <c r="I8" s="2">
        <v>1.77E-2</v>
      </c>
      <c r="J8" s="2">
        <v>1.7600000000000001E-2</v>
      </c>
      <c r="K8" s="2">
        <v>1.77E-2</v>
      </c>
      <c r="L8" s="2">
        <v>1.77E-2</v>
      </c>
      <c r="N8" s="2" t="s">
        <v>13</v>
      </c>
      <c r="O8" s="2">
        <v>0.42559999999999998</v>
      </c>
      <c r="P8" s="2">
        <v>0.42149999999999999</v>
      </c>
      <c r="Q8" s="2">
        <v>0.42149999999999999</v>
      </c>
      <c r="R8" s="2">
        <v>0.42159999999999997</v>
      </c>
      <c r="S8" s="2">
        <v>0.45839999999999997</v>
      </c>
      <c r="T8" s="2">
        <v>0.55079999999999996</v>
      </c>
      <c r="U8" s="2">
        <v>0.39269999999999999</v>
      </c>
      <c r="V8" s="2">
        <v>0.30170000000000002</v>
      </c>
      <c r="W8" s="2">
        <v>0.30170000000000002</v>
      </c>
      <c r="X8" s="2">
        <v>0.30159999999999998</v>
      </c>
    </row>
    <row r="9" spans="1:24" x14ac:dyDescent="0.25">
      <c r="B9" s="2" t="s">
        <v>15</v>
      </c>
      <c r="C9" s="2">
        <v>5.0000000000000001E-3</v>
      </c>
      <c r="D9" s="2">
        <v>4.4000000000000003E-3</v>
      </c>
      <c r="E9" s="2">
        <v>3.8999999999999998E-3</v>
      </c>
      <c r="F9" s="2">
        <v>3.8999999999999998E-3</v>
      </c>
      <c r="G9" s="2">
        <v>3.8999999999999998E-3</v>
      </c>
      <c r="H9" s="2">
        <v>3.8999999999999998E-3</v>
      </c>
      <c r="I9" s="2">
        <v>3.8999999999999998E-3</v>
      </c>
      <c r="J9" s="2">
        <v>4.0000000000000001E-3</v>
      </c>
      <c r="K9" s="2">
        <v>3.8999999999999998E-3</v>
      </c>
      <c r="L9" s="2">
        <v>3.8999999999999998E-3</v>
      </c>
      <c r="N9" s="2" t="s">
        <v>15</v>
      </c>
      <c r="O9" s="2">
        <v>1.7500000000000002E-2</v>
      </c>
      <c r="P9" s="2">
        <v>1.7000000000000001E-2</v>
      </c>
      <c r="Q9" s="2">
        <v>1.7000000000000001E-2</v>
      </c>
      <c r="R9" s="2">
        <v>1.7000000000000001E-2</v>
      </c>
      <c r="S9" s="2">
        <v>1.6899999999999998E-2</v>
      </c>
      <c r="T9" s="2">
        <v>2.5000000000000001E-2</v>
      </c>
      <c r="U9" s="2">
        <v>2.3699999999999999E-2</v>
      </c>
      <c r="V9" s="2">
        <v>2.3599999999999999E-2</v>
      </c>
      <c r="W9" s="2">
        <v>2.3699999999999999E-2</v>
      </c>
      <c r="X9" s="2">
        <v>2.3699999999999999E-2</v>
      </c>
    </row>
    <row r="10" spans="1:24" x14ac:dyDescent="0.25">
      <c r="B10" s="2" t="s">
        <v>16</v>
      </c>
      <c r="C10" s="2">
        <v>6.7000000000000002E-3</v>
      </c>
      <c r="D10" s="2">
        <v>6.1999999999999998E-3</v>
      </c>
      <c r="E10" s="2">
        <v>5.7999999999999996E-3</v>
      </c>
      <c r="F10" s="2">
        <v>6.7000000000000002E-3</v>
      </c>
      <c r="G10" s="2">
        <v>6.3E-3</v>
      </c>
      <c r="H10" s="2">
        <v>5.7999999999999996E-3</v>
      </c>
      <c r="I10" s="2">
        <v>5.7999999999999996E-3</v>
      </c>
      <c r="J10" s="2">
        <v>5.7999999999999996E-3</v>
      </c>
      <c r="K10" s="2">
        <v>5.7000000000000002E-3</v>
      </c>
      <c r="L10" s="2">
        <v>5.7000000000000002E-3</v>
      </c>
      <c r="N10" s="2" t="s">
        <v>16</v>
      </c>
      <c r="O10" s="2">
        <v>0.14280000000000001</v>
      </c>
      <c r="P10" s="2">
        <v>0.14760000000000001</v>
      </c>
      <c r="Q10" s="2">
        <v>0.1426</v>
      </c>
      <c r="R10" s="2">
        <v>0.1318</v>
      </c>
      <c r="S10" s="2">
        <v>0.13189999999999999</v>
      </c>
      <c r="T10" s="2">
        <v>0.1406</v>
      </c>
      <c r="U10" s="2">
        <v>0.13159999999999999</v>
      </c>
      <c r="V10" s="2">
        <v>0.1318</v>
      </c>
      <c r="W10" s="2">
        <v>0.13159999999999999</v>
      </c>
      <c r="X10" s="2">
        <v>0.13159999999999999</v>
      </c>
    </row>
    <row r="12" spans="1:24" x14ac:dyDescent="0.25">
      <c r="B12" s="4" t="s">
        <v>19</v>
      </c>
      <c r="C12" s="1">
        <f>E32</f>
        <v>1000</v>
      </c>
      <c r="N12" s="4" t="s">
        <v>19</v>
      </c>
      <c r="O12" s="1">
        <f>F32</f>
        <v>5000</v>
      </c>
    </row>
    <row r="13" spans="1:24" x14ac:dyDescent="0.25">
      <c r="B13" s="6" t="s">
        <v>1</v>
      </c>
      <c r="C13" s="7" t="s">
        <v>18</v>
      </c>
      <c r="D13" s="11"/>
      <c r="E13" s="11"/>
      <c r="F13" s="11"/>
      <c r="G13" s="11"/>
      <c r="H13" s="11"/>
      <c r="I13" s="11"/>
      <c r="J13" s="11"/>
      <c r="K13" s="11"/>
      <c r="L13" s="12"/>
      <c r="N13" s="6" t="s">
        <v>1</v>
      </c>
      <c r="O13" s="7" t="s">
        <v>18</v>
      </c>
      <c r="P13" s="11"/>
      <c r="Q13" s="11"/>
      <c r="R13" s="11"/>
      <c r="S13" s="11"/>
      <c r="T13" s="11"/>
      <c r="U13" s="11"/>
      <c r="V13" s="11"/>
      <c r="W13" s="11"/>
      <c r="X13" s="12"/>
    </row>
    <row r="14" spans="1:24" x14ac:dyDescent="0.25">
      <c r="B14" s="13"/>
      <c r="C14" s="3" t="s">
        <v>2</v>
      </c>
      <c r="D14" s="3" t="s">
        <v>3</v>
      </c>
      <c r="E14" s="3" t="s">
        <v>4</v>
      </c>
      <c r="F14" s="3" t="s">
        <v>5</v>
      </c>
      <c r="G14" s="3" t="s">
        <v>6</v>
      </c>
      <c r="H14" s="3" t="s">
        <v>7</v>
      </c>
      <c r="I14" s="3" t="s">
        <v>8</v>
      </c>
      <c r="J14" s="3" t="s">
        <v>9</v>
      </c>
      <c r="K14" s="3" t="s">
        <v>10</v>
      </c>
      <c r="L14" s="3" t="s">
        <v>11</v>
      </c>
      <c r="N14" s="13"/>
      <c r="O14" s="3" t="s">
        <v>2</v>
      </c>
      <c r="P14" s="3" t="s">
        <v>3</v>
      </c>
      <c r="Q14" s="3" t="s">
        <v>4</v>
      </c>
      <c r="R14" s="3" t="s">
        <v>5</v>
      </c>
      <c r="S14" s="3" t="s">
        <v>6</v>
      </c>
      <c r="T14" s="3" t="s">
        <v>7</v>
      </c>
      <c r="U14" s="3" t="s">
        <v>8</v>
      </c>
      <c r="V14" s="3" t="s">
        <v>9</v>
      </c>
      <c r="W14" s="3" t="s">
        <v>10</v>
      </c>
      <c r="X14" s="3" t="s">
        <v>11</v>
      </c>
    </row>
    <row r="15" spans="1:24" x14ac:dyDescent="0.25">
      <c r="B15" s="2" t="s">
        <v>14</v>
      </c>
      <c r="C15" s="2">
        <v>0.97050000000000003</v>
      </c>
      <c r="D15" s="2">
        <v>0.97599999999999998</v>
      </c>
      <c r="E15" s="2">
        <v>1.0367999999999999</v>
      </c>
      <c r="F15" s="2">
        <v>0.999</v>
      </c>
      <c r="G15" s="2">
        <v>0.97140000000000004</v>
      </c>
      <c r="H15" s="2">
        <v>0.99980000000000002</v>
      </c>
      <c r="I15" s="2">
        <v>0.97070000000000001</v>
      </c>
      <c r="J15" s="2">
        <v>0.98</v>
      </c>
      <c r="K15" s="2">
        <v>1.0327</v>
      </c>
      <c r="L15" s="2">
        <v>1.0008999999999999</v>
      </c>
      <c r="N15" s="2" t="s">
        <v>14</v>
      </c>
      <c r="O15" s="2">
        <v>25.9312</v>
      </c>
      <c r="P15" s="2">
        <v>27.631499999999999</v>
      </c>
      <c r="Q15" s="2">
        <v>24.940899999999999</v>
      </c>
      <c r="R15" s="2">
        <v>24.842600000000001</v>
      </c>
      <c r="S15" s="2">
        <v>24.635999999999999</v>
      </c>
      <c r="T15" s="2">
        <v>24.614599999999999</v>
      </c>
      <c r="U15" s="2">
        <v>25.124500000000001</v>
      </c>
      <c r="V15" s="2">
        <v>24.5505</v>
      </c>
      <c r="W15" s="2">
        <v>24.216000000000001</v>
      </c>
      <c r="X15" s="2">
        <v>24.750599999999999</v>
      </c>
    </row>
    <row r="16" spans="1:24" x14ac:dyDescent="0.25">
      <c r="B16" s="2" t="s">
        <v>12</v>
      </c>
      <c r="C16" s="2">
        <v>0.72529999999999994</v>
      </c>
      <c r="D16" s="2">
        <v>0.72960000000000003</v>
      </c>
      <c r="E16" s="2">
        <v>0.70369999999999999</v>
      </c>
      <c r="F16" s="2">
        <v>0.72799999999999998</v>
      </c>
      <c r="G16" s="2">
        <v>0.47</v>
      </c>
      <c r="H16" s="2">
        <v>0.52070000000000005</v>
      </c>
      <c r="I16" s="2">
        <v>0.74609999999999999</v>
      </c>
      <c r="J16" s="2">
        <v>0.72419999999999995</v>
      </c>
      <c r="K16" s="2">
        <v>0.73280000000000001</v>
      </c>
      <c r="L16" s="2">
        <v>0.72470000000000001</v>
      </c>
      <c r="N16" s="2" t="s">
        <v>12</v>
      </c>
      <c r="O16" s="2">
        <v>17.1523</v>
      </c>
      <c r="P16" s="2">
        <v>17.848299999999998</v>
      </c>
      <c r="Q16" s="2">
        <v>17.434699999999999</v>
      </c>
      <c r="R16" s="2">
        <v>17.679400000000001</v>
      </c>
      <c r="S16" s="2">
        <v>17.361599999999999</v>
      </c>
      <c r="T16" s="2">
        <v>17.873999999999999</v>
      </c>
      <c r="U16" s="2">
        <v>18.167200000000001</v>
      </c>
      <c r="V16" s="2">
        <v>17.799199999999999</v>
      </c>
      <c r="W16" s="2">
        <v>16.817</v>
      </c>
      <c r="X16" s="2">
        <v>17.3293</v>
      </c>
    </row>
    <row r="17" spans="2:24" x14ac:dyDescent="0.25">
      <c r="B17" s="2" t="s">
        <v>13</v>
      </c>
      <c r="C17" s="2">
        <v>1.6888000000000001</v>
      </c>
      <c r="D17" s="2">
        <v>1.7133</v>
      </c>
      <c r="E17" s="2">
        <v>1.7928999999999999</v>
      </c>
      <c r="F17" s="2">
        <v>1.6888000000000001</v>
      </c>
      <c r="G17" s="2">
        <v>1.6978</v>
      </c>
      <c r="H17" s="2">
        <v>1.6827000000000001</v>
      </c>
      <c r="I17" s="2">
        <v>1.8147</v>
      </c>
      <c r="J17" s="2">
        <v>1.7455000000000001</v>
      </c>
      <c r="K17" s="2">
        <v>1.6912</v>
      </c>
      <c r="L17" s="2">
        <v>1.74</v>
      </c>
      <c r="N17" s="2" t="s">
        <v>13</v>
      </c>
      <c r="O17" s="2">
        <v>43.648899999999998</v>
      </c>
      <c r="P17" s="2">
        <v>52.196199999999997</v>
      </c>
      <c r="Q17" s="2">
        <v>50.922899999999998</v>
      </c>
      <c r="R17" s="2">
        <v>53.752000000000002</v>
      </c>
      <c r="S17" s="2">
        <v>47.679600000000001</v>
      </c>
      <c r="T17" s="2">
        <v>43.726199999999999</v>
      </c>
      <c r="U17" s="2">
        <v>44.172600000000003</v>
      </c>
      <c r="V17" s="2">
        <v>43.718299999999999</v>
      </c>
      <c r="W17" s="2">
        <v>44.755499999999998</v>
      </c>
      <c r="X17" s="2">
        <v>43.540300000000002</v>
      </c>
    </row>
    <row r="18" spans="2:24" x14ac:dyDescent="0.25">
      <c r="B18" s="2" t="s">
        <v>15</v>
      </c>
      <c r="C18" s="2">
        <v>5.5899999999999998E-2</v>
      </c>
      <c r="D18" s="2">
        <v>5.4800000000000001E-2</v>
      </c>
      <c r="E18" s="2">
        <v>5.4899999999999997E-2</v>
      </c>
      <c r="F18" s="2">
        <v>5.4699999999999999E-2</v>
      </c>
      <c r="G18" s="2">
        <v>5.4899999999999997E-2</v>
      </c>
      <c r="H18" s="2">
        <v>5.4699999999999999E-2</v>
      </c>
      <c r="I18" s="2">
        <v>5.96E-2</v>
      </c>
      <c r="J18" s="2">
        <v>5.1999999999999998E-2</v>
      </c>
      <c r="K18" s="2">
        <v>5.1999999999999998E-2</v>
      </c>
      <c r="L18" s="2">
        <v>5.1900000000000002E-2</v>
      </c>
      <c r="N18" s="2" t="s">
        <v>15</v>
      </c>
      <c r="O18" s="2">
        <v>0.32529999999999998</v>
      </c>
      <c r="P18" s="2">
        <v>0.30480000000000002</v>
      </c>
      <c r="Q18" s="2">
        <v>0.31009999999999999</v>
      </c>
      <c r="R18" s="2">
        <v>0.3039</v>
      </c>
      <c r="S18" s="2">
        <v>0.30530000000000002</v>
      </c>
      <c r="T18" s="2">
        <v>0.30520000000000003</v>
      </c>
      <c r="U18" s="2">
        <v>0.30509999999999998</v>
      </c>
      <c r="V18" s="2">
        <v>0.30470000000000003</v>
      </c>
      <c r="W18" s="2">
        <v>0.33260000000000001</v>
      </c>
      <c r="X18" s="2">
        <v>0.33150000000000002</v>
      </c>
    </row>
    <row r="19" spans="2:24" x14ac:dyDescent="0.25">
      <c r="B19" s="2" t="s">
        <v>16</v>
      </c>
      <c r="C19" s="2">
        <v>0.56530000000000002</v>
      </c>
      <c r="D19" s="2">
        <v>0.58330000000000004</v>
      </c>
      <c r="E19" s="2">
        <v>0.5585</v>
      </c>
      <c r="F19" s="2">
        <v>0.55710000000000004</v>
      </c>
      <c r="G19" s="2">
        <v>0.51219999999999999</v>
      </c>
      <c r="H19" s="2">
        <v>0.51200000000000001</v>
      </c>
      <c r="I19" s="2">
        <v>0.51290000000000002</v>
      </c>
      <c r="J19" s="2">
        <v>0.51639999999999997</v>
      </c>
      <c r="K19" s="2">
        <v>0.51100000000000001</v>
      </c>
      <c r="L19" s="2">
        <v>0.55879999999999996</v>
      </c>
      <c r="N19" s="2" t="s">
        <v>16</v>
      </c>
      <c r="O19" s="2">
        <v>14.418699999999999</v>
      </c>
      <c r="P19" s="2">
        <v>13.520099999999999</v>
      </c>
      <c r="Q19" s="2">
        <v>13.8674</v>
      </c>
      <c r="R19" s="2">
        <v>13.321400000000001</v>
      </c>
      <c r="S19" s="2">
        <v>13.1266</v>
      </c>
      <c r="T19" s="2">
        <v>13.136699999999999</v>
      </c>
      <c r="U19" s="2">
        <v>13.3796</v>
      </c>
      <c r="V19" s="2">
        <v>13.4102</v>
      </c>
      <c r="W19" s="2">
        <v>13.590400000000001</v>
      </c>
      <c r="X19" s="2">
        <v>13.3523</v>
      </c>
    </row>
    <row r="21" spans="2:24" x14ac:dyDescent="0.25">
      <c r="B21" s="4" t="s">
        <v>19</v>
      </c>
      <c r="C21" s="1">
        <f>G32</f>
        <v>10000</v>
      </c>
      <c r="N21" s="4" t="s">
        <v>19</v>
      </c>
      <c r="O21" s="1">
        <f>H32</f>
        <v>50000</v>
      </c>
    </row>
    <row r="22" spans="2:24" x14ac:dyDescent="0.25">
      <c r="B22" s="6" t="s">
        <v>1</v>
      </c>
      <c r="C22" s="7" t="s">
        <v>18</v>
      </c>
      <c r="D22" s="11"/>
      <c r="E22" s="11"/>
      <c r="F22" s="11"/>
      <c r="G22" s="11"/>
      <c r="H22" s="11"/>
      <c r="I22" s="11"/>
      <c r="J22" s="11"/>
      <c r="K22" s="11"/>
      <c r="L22" s="12"/>
      <c r="N22" s="6" t="s">
        <v>1</v>
      </c>
      <c r="O22" s="7" t="s">
        <v>18</v>
      </c>
      <c r="P22" s="11"/>
      <c r="Q22" s="11"/>
      <c r="R22" s="11"/>
      <c r="S22" s="11"/>
      <c r="T22" s="11"/>
      <c r="U22" s="11"/>
      <c r="V22" s="11"/>
      <c r="W22" s="11"/>
      <c r="X22" s="12"/>
    </row>
    <row r="23" spans="2:24" x14ac:dyDescent="0.25">
      <c r="B23" s="13"/>
      <c r="C23" s="3" t="s">
        <v>2</v>
      </c>
      <c r="D23" s="3" t="s">
        <v>3</v>
      </c>
      <c r="E23" s="3" t="s">
        <v>4</v>
      </c>
      <c r="F23" s="3" t="s">
        <v>5</v>
      </c>
      <c r="G23" s="3" t="s">
        <v>6</v>
      </c>
      <c r="H23" s="3" t="s">
        <v>7</v>
      </c>
      <c r="I23" s="3" t="s">
        <v>8</v>
      </c>
      <c r="J23" s="3" t="s">
        <v>9</v>
      </c>
      <c r="K23" s="3" t="s">
        <v>10</v>
      </c>
      <c r="L23" s="3" t="s">
        <v>11</v>
      </c>
      <c r="N23" s="13"/>
      <c r="O23" s="3" t="s">
        <v>2</v>
      </c>
      <c r="P23" s="3" t="s">
        <v>3</v>
      </c>
      <c r="Q23" s="3" t="s">
        <v>4</v>
      </c>
      <c r="R23" s="3" t="s">
        <v>5</v>
      </c>
      <c r="S23" s="3" t="s">
        <v>6</v>
      </c>
      <c r="T23" s="3" t="s">
        <v>7</v>
      </c>
      <c r="U23" s="3" t="s">
        <v>8</v>
      </c>
      <c r="V23" s="3" t="s">
        <v>9</v>
      </c>
      <c r="W23" s="3" t="s">
        <v>10</v>
      </c>
      <c r="X23" s="3" t="s">
        <v>11</v>
      </c>
    </row>
    <row r="24" spans="2:24" x14ac:dyDescent="0.25">
      <c r="B24" s="2" t="s">
        <v>14</v>
      </c>
      <c r="C24" s="2">
        <v>103.0014</v>
      </c>
      <c r="D24" s="2">
        <v>97.264099999999999</v>
      </c>
      <c r="E24" s="2">
        <v>98.548199999999994</v>
      </c>
      <c r="F24" s="2">
        <v>103.3318</v>
      </c>
      <c r="G24" s="2">
        <v>100.3699</v>
      </c>
      <c r="H24" s="2">
        <v>107.4867</v>
      </c>
      <c r="I24" s="2">
        <v>101.21120000000001</v>
      </c>
      <c r="J24" s="2">
        <v>98.551000000000002</v>
      </c>
      <c r="K24" s="2">
        <v>98.846199999999996</v>
      </c>
      <c r="L24" s="2">
        <v>98.023700000000005</v>
      </c>
      <c r="N24" s="2" t="s">
        <v>14</v>
      </c>
      <c r="O24" s="2">
        <v>2510.3557000000001</v>
      </c>
      <c r="P24" s="2">
        <v>2534.8559</v>
      </c>
      <c r="Q24" s="2">
        <v>2532.8533000000002</v>
      </c>
      <c r="R24" s="2">
        <v>2548.2372</v>
      </c>
      <c r="S24" s="2">
        <v>2499.2195999999999</v>
      </c>
      <c r="T24" s="2">
        <v>2621.5641999999998</v>
      </c>
      <c r="U24" s="2">
        <v>2527.2633999999998</v>
      </c>
      <c r="V24" s="2">
        <v>2492.7882</v>
      </c>
      <c r="W24" s="2">
        <v>2539.0194999999999</v>
      </c>
      <c r="X24" s="2">
        <v>2495.9699999999998</v>
      </c>
    </row>
    <row r="25" spans="2:24" x14ac:dyDescent="0.25">
      <c r="B25" s="2" t="s">
        <v>12</v>
      </c>
      <c r="C25" s="2">
        <v>73.347800000000007</v>
      </c>
      <c r="D25" s="2">
        <v>71.123400000000004</v>
      </c>
      <c r="E25" s="2">
        <v>70.915099999999995</v>
      </c>
      <c r="F25" s="2">
        <v>76.471800000000002</v>
      </c>
      <c r="G25" s="2">
        <v>69.834299999999999</v>
      </c>
      <c r="H25" s="2">
        <v>67.660399999999996</v>
      </c>
      <c r="I25" s="2">
        <v>71.701599999999999</v>
      </c>
      <c r="J25" s="2">
        <v>77.881600000000006</v>
      </c>
      <c r="K25" s="2">
        <v>68.611400000000003</v>
      </c>
      <c r="L25" s="2">
        <v>73.101200000000006</v>
      </c>
      <c r="N25" s="2" t="s">
        <v>12</v>
      </c>
      <c r="O25" s="2">
        <v>1790.6885</v>
      </c>
      <c r="P25" s="2">
        <v>1789.1306999999999</v>
      </c>
      <c r="Q25" s="2">
        <v>1810.4666999999999</v>
      </c>
      <c r="R25" s="2">
        <v>1917.5634</v>
      </c>
      <c r="S25" s="2">
        <v>1883.2183</v>
      </c>
      <c r="T25" s="2">
        <v>1783.3923</v>
      </c>
      <c r="U25" s="2">
        <v>1790.9532999999999</v>
      </c>
      <c r="V25" s="2">
        <v>1788.106</v>
      </c>
      <c r="W25" s="2">
        <v>1798.8915</v>
      </c>
      <c r="X25" s="2">
        <v>1796.5764999999999</v>
      </c>
    </row>
    <row r="26" spans="2:24" x14ac:dyDescent="0.25">
      <c r="B26" s="2" t="s">
        <v>13</v>
      </c>
      <c r="C26" s="2">
        <v>173.47499999999999</v>
      </c>
      <c r="D26" s="2">
        <v>178.95140000000001</v>
      </c>
      <c r="E26" s="2">
        <v>171.9376</v>
      </c>
      <c r="F26" s="2">
        <v>171.4178</v>
      </c>
      <c r="G26" s="2">
        <v>181.54419999999999</v>
      </c>
      <c r="H26" s="2">
        <v>179.70959999999999</v>
      </c>
      <c r="I26" s="2">
        <v>205.8468</v>
      </c>
      <c r="J26" s="2">
        <v>193.7859</v>
      </c>
      <c r="K26" s="2">
        <v>175.297</v>
      </c>
      <c r="L26" s="2">
        <v>183.62530000000001</v>
      </c>
      <c r="N26" s="2" t="s">
        <v>13</v>
      </c>
      <c r="O26" s="2">
        <v>4471.6032999999998</v>
      </c>
      <c r="P26" s="2">
        <v>4398.5838000000003</v>
      </c>
      <c r="Q26" s="2">
        <v>4252.6989000000003</v>
      </c>
      <c r="R26" s="2">
        <v>4605.4750000000004</v>
      </c>
      <c r="S26" s="2">
        <v>4160.6336000000001</v>
      </c>
      <c r="T26" s="2">
        <v>4380.5757000000003</v>
      </c>
      <c r="U26" s="2">
        <v>4295.415</v>
      </c>
      <c r="V26" s="2">
        <v>4408.6949999999997</v>
      </c>
      <c r="W26" s="2">
        <v>4494.3203000000003</v>
      </c>
      <c r="X26" s="2">
        <v>4359.2286999999997</v>
      </c>
    </row>
    <row r="27" spans="2:24" x14ac:dyDescent="0.25">
      <c r="B27" s="2" t="s">
        <v>15</v>
      </c>
      <c r="C27" s="2">
        <v>0.64770000000000005</v>
      </c>
      <c r="D27" s="2">
        <v>0.65100000000000002</v>
      </c>
      <c r="E27" s="2">
        <v>0.64429999999999998</v>
      </c>
      <c r="F27" s="2">
        <v>0.64410000000000001</v>
      </c>
      <c r="G27" s="2">
        <v>0.73370000000000002</v>
      </c>
      <c r="H27" s="2">
        <v>0.65259999999999996</v>
      </c>
      <c r="I27" s="2">
        <v>0.64539999999999997</v>
      </c>
      <c r="J27" s="2">
        <v>0.64429999999999998</v>
      </c>
      <c r="K27" s="2">
        <v>0.65869999999999995</v>
      </c>
      <c r="L27" s="2">
        <v>0.64410000000000001</v>
      </c>
      <c r="N27" s="2" t="s">
        <v>15</v>
      </c>
      <c r="O27" s="2">
        <v>4.2145999999999999</v>
      </c>
      <c r="P27" s="2">
        <v>4.4625000000000004</v>
      </c>
      <c r="Q27" s="2">
        <v>4.2648999999999999</v>
      </c>
      <c r="R27" s="2">
        <v>3.7871000000000001</v>
      </c>
      <c r="S27" s="2">
        <v>3.6907999999999999</v>
      </c>
      <c r="T27" s="2">
        <v>3.6882000000000001</v>
      </c>
      <c r="U27" s="2">
        <v>3.7121</v>
      </c>
      <c r="V27" s="2">
        <v>3.3641000000000001</v>
      </c>
      <c r="W27" s="2">
        <v>3.2909999999999999</v>
      </c>
      <c r="X27" s="2">
        <v>3.7490000000000001</v>
      </c>
    </row>
    <row r="28" spans="2:24" x14ac:dyDescent="0.25">
      <c r="B28" s="2" t="s">
        <v>16</v>
      </c>
      <c r="C28" s="2">
        <v>51.192100000000003</v>
      </c>
      <c r="D28" s="2">
        <v>53.964700000000001</v>
      </c>
      <c r="E28" s="2">
        <v>54.935299999999998</v>
      </c>
      <c r="F28" s="2">
        <v>55.374600000000001</v>
      </c>
      <c r="G28" s="2">
        <v>53.714500000000001</v>
      </c>
      <c r="H28" s="2">
        <v>56.671399999999998</v>
      </c>
      <c r="I28" s="2">
        <v>51.577100000000002</v>
      </c>
      <c r="J28" s="2">
        <v>51.2136</v>
      </c>
      <c r="K28" s="2">
        <v>50.747100000000003</v>
      </c>
      <c r="L28" s="2">
        <v>51.494500000000002</v>
      </c>
      <c r="N28" s="2" t="s">
        <v>16</v>
      </c>
      <c r="O28" s="2">
        <v>1303.9401</v>
      </c>
      <c r="P28" s="2">
        <v>1322.009</v>
      </c>
      <c r="Q28" s="2">
        <v>1295.6130000000001</v>
      </c>
      <c r="R28" s="2">
        <v>1300.0952</v>
      </c>
      <c r="S28" s="2">
        <v>1308.6188999999999</v>
      </c>
      <c r="T28" s="2">
        <v>1359.2184999999999</v>
      </c>
      <c r="U28" s="2">
        <v>1286.5686000000001</v>
      </c>
      <c r="V28" s="2">
        <v>1277.6815999999999</v>
      </c>
      <c r="W28" s="2">
        <v>1318.8362</v>
      </c>
      <c r="X28" s="2">
        <v>1271.9643000000001</v>
      </c>
    </row>
    <row r="31" spans="2:24" x14ac:dyDescent="0.25">
      <c r="B31" s="6" t="s">
        <v>1</v>
      </c>
      <c r="C31" s="9" t="s">
        <v>17</v>
      </c>
      <c r="D31" s="11"/>
      <c r="E31" s="11"/>
      <c r="F31" s="11"/>
      <c r="G31" s="11"/>
      <c r="H31" s="12"/>
    </row>
    <row r="32" spans="2:24" x14ac:dyDescent="0.25">
      <c r="B32" s="13"/>
      <c r="C32" s="2">
        <v>100</v>
      </c>
      <c r="D32" s="2">
        <v>500</v>
      </c>
      <c r="E32" s="2">
        <v>1000</v>
      </c>
      <c r="F32" s="2">
        <v>5000</v>
      </c>
      <c r="G32" s="2">
        <v>10000</v>
      </c>
      <c r="H32" s="2">
        <v>50000</v>
      </c>
    </row>
    <row r="33" spans="2:8" x14ac:dyDescent="0.25">
      <c r="B33" s="2" t="s">
        <v>14</v>
      </c>
      <c r="C33" s="2">
        <f>IF(COUNTBLANK(C6:L6)&gt;0,"undone",AVERAGE(C6:L6))</f>
        <v>9.9500000000000005E-3</v>
      </c>
      <c r="D33" s="2">
        <f>IF(COUNTBLANK(O6:X6)&gt;0,"undone",AVERAGE(O6:X6))</f>
        <v>0.24713999999999997</v>
      </c>
      <c r="E33" s="2">
        <f>IF(COUNTBLANK(C15:L15)&gt;0,"undone",AVERAGE(C15:L15))</f>
        <v>0.99377999999999989</v>
      </c>
      <c r="F33" s="2">
        <f>IF(COUNTBLANK(O15:X15)&gt;0,"undone",AVERAGE(O15:X15))</f>
        <v>25.123840000000001</v>
      </c>
      <c r="G33" s="2">
        <f>IF(COUNTBLANK(C24:L24)&gt;0,"undone",AVERAGE(C24:L24))</f>
        <v>100.66342</v>
      </c>
      <c r="H33" s="2">
        <f>IF(COUNTBLANK(O24:X24)&gt;0,"undone",AVERAGE(O24:X24))</f>
        <v>2530.2127</v>
      </c>
    </row>
    <row r="34" spans="2:8" x14ac:dyDescent="0.25">
      <c r="B34" s="2" t="s">
        <v>12</v>
      </c>
      <c r="C34" s="2">
        <f>IF(COUNTBLANK(C7:L7)&gt;0,"undone",AVERAGE(C7:L7))</f>
        <v>7.4400000000000004E-3</v>
      </c>
      <c r="D34" s="2">
        <f>IF(COUNTBLANK(O7:X7)&gt;0,"undone",AVERAGE(O7:X7))</f>
        <v>0.16192999999999996</v>
      </c>
      <c r="E34" s="2">
        <f>IF(COUNTBLANK(C16:L16)&gt;0,"undone",AVERAGE(C16:L16))</f>
        <v>0.68050999999999995</v>
      </c>
      <c r="F34" s="2">
        <f>IF(COUNTBLANK(O16:X16)&gt;0,"undone",AVERAGE(O16:X16))</f>
        <v>17.546299999999995</v>
      </c>
      <c r="G34" s="2">
        <f>IF(COUNTBLANK(C25:L25)&gt;0,"undone",AVERAGE(C25:L25))</f>
        <v>72.064859999999996</v>
      </c>
      <c r="H34" s="2">
        <f>IF(COUNTBLANK(O25:X25)&gt;0,"undone",AVERAGE(O25:X25))</f>
        <v>1814.8987199999999</v>
      </c>
    </row>
    <row r="35" spans="2:8" x14ac:dyDescent="0.25">
      <c r="B35" s="2" t="s">
        <v>13</v>
      </c>
      <c r="C35" s="2">
        <f>IF(COUNTBLANK(C8:L8)&gt;0,"undone",AVERAGE(C8:L8))</f>
        <v>1.7569999999999999E-2</v>
      </c>
      <c r="D35" s="2">
        <f>IF(COUNTBLANK(O8:X8)&gt;0,"undone",AVERAGE(O8:X8))</f>
        <v>0.39970999999999995</v>
      </c>
      <c r="E35" s="2">
        <f>IF(COUNTBLANK(C17:L17)&gt;0,"undone",AVERAGE(C17:L17))</f>
        <v>1.72557</v>
      </c>
      <c r="F35" s="2">
        <f>IF(COUNTBLANK(O17:X17)&gt;0,"undone",AVERAGE(O17:X17))</f>
        <v>46.811249999999994</v>
      </c>
      <c r="G35" s="2">
        <f>IF(COUNTBLANK(C26:L26)&gt;0,"undone",AVERAGE(C26:L26))</f>
        <v>181.55905999999999</v>
      </c>
      <c r="H35" s="2">
        <f>IF(COUNTBLANK(O26:X26)&gt;0,"undone",AVERAGE(O26:X26))</f>
        <v>4382.7229299999999</v>
      </c>
    </row>
    <row r="36" spans="2:8" x14ac:dyDescent="0.25">
      <c r="B36" s="2" t="s">
        <v>15</v>
      </c>
      <c r="C36" s="2">
        <f>IF(COUNTBLANK(C9:L9)&gt;0,"undone",AVERAGE(C9:L9))</f>
        <v>4.0699999999999998E-3</v>
      </c>
      <c r="D36" s="2">
        <f>IF(COUNTBLANK(O9:X9)&gt;0,"undone",AVERAGE(O9:X9))</f>
        <v>2.051E-2</v>
      </c>
      <c r="E36" s="2">
        <f>IF(COUNTBLANK(C18:L18)&gt;0,"undone",AVERAGE(C18:L18))</f>
        <v>5.4539999999999991E-2</v>
      </c>
      <c r="F36" s="2">
        <f>IF(COUNTBLANK(O18:X18)&gt;0,"undone",AVERAGE(O18:X18))</f>
        <v>0.31284999999999996</v>
      </c>
      <c r="G36" s="2">
        <f>IF(COUNTBLANK(C27:L27)&gt;0,"undone",AVERAGE(C27:L27))</f>
        <v>0.65659000000000001</v>
      </c>
      <c r="H36" s="2">
        <f>IF(COUNTBLANK(O27:X27)&gt;0,"undone",AVERAGE(O27:X27))</f>
        <v>3.8224299999999998</v>
      </c>
    </row>
    <row r="37" spans="2:8" x14ac:dyDescent="0.25">
      <c r="B37" s="2" t="s">
        <v>16</v>
      </c>
      <c r="C37" s="2">
        <f>IF(COUNTBLANK(C10:L10)&gt;0,"undone",AVERAGE(C10:L10))</f>
        <v>6.0499999999999998E-3</v>
      </c>
      <c r="D37" s="2">
        <f>IF(COUNTBLANK(O10:X10)&gt;0,"undone",AVERAGE(O10:X10))</f>
        <v>0.13638999999999996</v>
      </c>
      <c r="E37" s="2">
        <f>IF(COUNTBLANK(C19:L19)&gt;0,"undone",AVERAGE(C19:L19))</f>
        <v>0.53875000000000006</v>
      </c>
      <c r="F37" s="2">
        <f>IF(COUNTBLANK(O19:X19)&gt;0,"undone",AVERAGE(O19:X19))</f>
        <v>13.51234</v>
      </c>
      <c r="G37" s="2">
        <f>IF(COUNTBLANK(C28:L28)&gt;0,"undone",AVERAGE(C28:L28))</f>
        <v>53.08849</v>
      </c>
      <c r="H37" s="2">
        <f>IF(COUNTBLANK(O28:X28)&gt;0,"undone",AVERAGE(O28:X28))</f>
        <v>1304.45454</v>
      </c>
    </row>
  </sheetData>
  <mergeCells count="15">
    <mergeCell ref="B13:B14"/>
    <mergeCell ref="C13:L13"/>
    <mergeCell ref="N13:N14"/>
    <mergeCell ref="O13:X13"/>
    <mergeCell ref="A1:B1"/>
    <mergeCell ref="B4:B5"/>
    <mergeCell ref="C4:L4"/>
    <mergeCell ref="N4:N5"/>
    <mergeCell ref="O4:X4"/>
    <mergeCell ref="B22:B23"/>
    <mergeCell ref="C22:L22"/>
    <mergeCell ref="N22:N23"/>
    <mergeCell ref="O22:X22"/>
    <mergeCell ref="B31:B32"/>
    <mergeCell ref="C31:H3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80655-96D9-4D34-BEF1-EA0FC028976F}">
  <dimension ref="A1:B1"/>
  <sheetViews>
    <sheetView workbookViewId="0">
      <selection activeCell="J24" sqref="J24"/>
    </sheetView>
  </sheetViews>
  <sheetFormatPr defaultRowHeight="13.8" x14ac:dyDescent="0.25"/>
  <sheetData>
    <row r="1" spans="1:2" x14ac:dyDescent="0.25">
      <c r="A1" s="5" t="s">
        <v>24</v>
      </c>
      <c r="B1" s="5"/>
    </row>
  </sheetData>
  <mergeCells count="1">
    <mergeCell ref="A1:B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6</vt:i4>
      </vt:variant>
    </vt:vector>
  </HeadingPairs>
  <TitlesOfParts>
    <vt:vector size="6" baseType="lpstr">
      <vt:lpstr>Random</vt:lpstr>
      <vt:lpstr>random_grpah</vt:lpstr>
      <vt:lpstr>Sorted</vt:lpstr>
      <vt:lpstr>sorted_grpah </vt:lpstr>
      <vt:lpstr>Rev-Sorted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2026-08-28T12:55:54Z</dcterms:modified>
</cp:coreProperties>
</file>