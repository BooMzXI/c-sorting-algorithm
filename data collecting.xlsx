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chartsheets/sheet3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82FA984D-3714-4C46-A920-846D65EE0359}" xr6:coauthVersionLast="47" xr6:coauthVersionMax="47" xr10:uidLastSave="{00000000-0000-0000-0000-000000000000}"/>
  <bookViews>
    <workbookView xWindow="-108" yWindow="-108" windowWidth="23256" windowHeight="12456" xr2:uid="{D32EC7AF-07E4-482F-A8FA-A097486C4469}"/>
  </bookViews>
  <sheets>
    <sheet name="Random" sheetId="1" r:id="rId1"/>
    <sheet name="random_grpah" sheetId="11" r:id="rId2"/>
    <sheet name="Sorted" sheetId="2" r:id="rId3"/>
    <sheet name="sorted_grpah " sheetId="12" r:id="rId4"/>
    <sheet name="Rev-Sorted" sheetId="3" r:id="rId5"/>
    <sheet name="rev_sorted_grpah " sheetId="1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1" i="3" l="1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H38" i="3"/>
  <c r="G38" i="3"/>
  <c r="F38" i="3"/>
  <c r="E38" i="3"/>
  <c r="D38" i="3"/>
  <c r="C38" i="3"/>
  <c r="H37" i="3"/>
  <c r="G37" i="3"/>
  <c r="F37" i="3"/>
  <c r="E37" i="3"/>
  <c r="D37" i="3"/>
  <c r="C37" i="3"/>
  <c r="Q36" i="3"/>
  <c r="P36" i="3"/>
  <c r="O36" i="3"/>
  <c r="N36" i="3"/>
  <c r="M36" i="3"/>
  <c r="L36" i="3"/>
  <c r="H36" i="3"/>
  <c r="G36" i="3"/>
  <c r="F36" i="3"/>
  <c r="E36" i="3"/>
  <c r="D36" i="3"/>
  <c r="C36" i="3"/>
  <c r="Q35" i="3"/>
  <c r="P35" i="3"/>
  <c r="O35" i="3"/>
  <c r="N35" i="3"/>
  <c r="M35" i="3"/>
  <c r="L35" i="3"/>
  <c r="Q34" i="3"/>
  <c r="P34" i="3"/>
  <c r="O34" i="3"/>
  <c r="N34" i="3"/>
  <c r="M34" i="3"/>
  <c r="L34" i="3"/>
  <c r="O23" i="3"/>
  <c r="C23" i="3"/>
  <c r="O13" i="3"/>
  <c r="C13" i="3"/>
  <c r="O3" i="3"/>
  <c r="C3" i="3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Q36" i="2"/>
  <c r="P36" i="2"/>
  <c r="O36" i="2"/>
  <c r="N36" i="2"/>
  <c r="M36" i="2"/>
  <c r="L36" i="2"/>
  <c r="H36" i="2"/>
  <c r="G36" i="2"/>
  <c r="F36" i="2"/>
  <c r="E36" i="2"/>
  <c r="D36" i="2"/>
  <c r="C36" i="2"/>
  <c r="Q35" i="2"/>
  <c r="P35" i="2"/>
  <c r="O35" i="2"/>
  <c r="N35" i="2"/>
  <c r="M35" i="2"/>
  <c r="L35" i="2"/>
  <c r="Q34" i="2"/>
  <c r="P34" i="2"/>
  <c r="O34" i="2"/>
  <c r="N34" i="2"/>
  <c r="M34" i="2"/>
  <c r="L34" i="2"/>
  <c r="O23" i="2"/>
  <c r="C23" i="2"/>
  <c r="O13" i="2"/>
  <c r="C13" i="2"/>
  <c r="O3" i="2"/>
  <c r="C3" i="2"/>
  <c r="H41" i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Q36" i="1"/>
  <c r="P36" i="1"/>
  <c r="O36" i="1"/>
  <c r="N36" i="1"/>
  <c r="M36" i="1"/>
  <c r="L36" i="1"/>
  <c r="H36" i="1"/>
  <c r="G36" i="1"/>
  <c r="F36" i="1"/>
  <c r="E36" i="1"/>
  <c r="D36" i="1"/>
  <c r="C36" i="1"/>
  <c r="Q35" i="1"/>
  <c r="P35" i="1"/>
  <c r="O35" i="1"/>
  <c r="N35" i="1"/>
  <c r="M35" i="1"/>
  <c r="L35" i="1"/>
  <c r="Q34" i="1"/>
  <c r="P34" i="1"/>
  <c r="O34" i="1"/>
  <c r="N34" i="1"/>
  <c r="M34" i="1"/>
  <c r="L34" i="1"/>
  <c r="O23" i="1"/>
  <c r="C23" i="1"/>
  <c r="O13" i="1"/>
  <c r="C13" i="1"/>
  <c r="O3" i="1"/>
  <c r="C3" i="1"/>
</calcChain>
</file>

<file path=xl/sharedStrings.xml><?xml version="1.0" encoding="utf-8"?>
<sst xmlns="http://schemas.openxmlformats.org/spreadsheetml/2006/main" count="384" uniqueCount="28">
  <si>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</si>
  <si>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</si>
  <si>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</si>
  <si>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</si>
  <si>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</si>
  <si>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</si>
  <si>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</si>
  <si>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</si>
  <si>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</si>
  <si>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</si>
  <si>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</si>
  <si>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</si>
  <si>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Input size =</t>
  </si>
  <si>
    <t>Rev-Sorted</t>
  </si>
  <si>
    <t>Sorted</t>
  </si>
  <si>
    <t>Run time (ms)</t>
  </si>
  <si>
    <t>Insertion Sort</t>
  </si>
  <si>
    <t>Selection Sort</t>
  </si>
  <si>
    <t>Bubble Sort</t>
  </si>
  <si>
    <t>Merge Sort</t>
  </si>
  <si>
    <t>Quick Sort</t>
  </si>
  <si>
    <t>Random PivotQuick Sort</t>
  </si>
  <si>
    <t>Avg time (ms)</t>
  </si>
  <si>
    <t>ตารางเปรียบเทียบทฤษฎี</t>
  </si>
  <si>
    <t>เวลาเอารูปไปไม่ต้องเอาชื่อแผนภูมิไปนะ ไปตัดออก</t>
  </si>
  <si>
    <t>O(N)</t>
  </si>
  <si>
    <t>O(NlogN)</t>
  </si>
  <si>
    <t>O(N2)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</si>
</sst>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3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22"/>
      <color rgb="FFFF0000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87" fontId="0" fillId="0" borderId="1" xfId="0" applyNumberFormat="1" applyBorder="1" applyAlignment="1">
      <alignment horizontal="center" vertical="center"/>
    </xf>
    <xf numFmtId="187" fontId="0" fillId="0" borderId="3" xfId="0" applyNumberForma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5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externalLink" Target="externalLinks/externalLink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calcChain" Target="calcChain.xml"/><Relationship Id="rId5" Type="http://schemas.openxmlformats.org/officeDocument/2006/relationships/worksheet" Target="worksheets/sheet3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2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insetion,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3.2374999999999991E-3</c:v>
                </c:pt>
                <c:pt idx="1">
                  <c:v>9.2087499999999989E-2</c:v>
                </c:pt>
                <c:pt idx="2">
                  <c:v>0.32903749999999998</c:v>
                </c:pt>
                <c:pt idx="3">
                  <c:v>8.5749499999999994</c:v>
                </c:pt>
                <c:pt idx="4">
                  <c:v>34.517949999999999</c:v>
                </c:pt>
                <c:pt idx="5">
                  <c:v>848.96680000000015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selection,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4.725E-3</c:v>
                </c:pt>
                <c:pt idx="1">
                  <c:v>0.11115</c:v>
                </c:pt>
                <c:pt idx="2">
                  <c:v>0.45730000000000004</c:v>
                </c:pt>
                <c:pt idx="3">
                  <c:v>10.927024999999999</c:v>
                </c:pt>
                <c:pt idx="4">
                  <c:v>45.488837500000002</c:v>
                </c:pt>
                <c:pt idx="5">
                  <c:v>1075.8161375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7.9500000000000005E-3</c:v>
                </c:pt>
                <c:pt idx="1">
                  <c:v>0.20223750000000001</c:v>
                </c:pt>
                <c:pt idx="2">
                  <c:v>0.8023125000000001</c:v>
                </c:pt>
                <c:pt idx="3">
                  <c:v>19.875374999999998</c:v>
                </c:pt>
                <c:pt idx="4">
                  <c:v>83.256074999999996</c:v>
                </c:pt>
                <c:pt idx="5">
                  <c:v>1988.4961750000002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merge,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2.8250000000000003E-3</c:v>
                </c:pt>
                <c:pt idx="1">
                  <c:v>1.7975000000000001E-2</c:v>
                </c:pt>
                <c:pt idx="2">
                  <c:v>3.8687499999999993E-2</c:v>
                </c:pt>
                <c:pt idx="3">
                  <c:v>0.36593750000000003</c:v>
                </c:pt>
                <c:pt idx="4">
                  <c:v>0.81251249999999997</c:v>
                </c:pt>
                <c:pt idx="5">
                  <c:v>4.5662125000000007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1.5999999999999999E-3</c:v>
                </c:pt>
                <c:pt idx="1">
                  <c:v>9.1750000000000009E-3</c:v>
                </c:pt>
                <c:pt idx="2">
                  <c:v>2.0137499999999999E-2</c:v>
                </c:pt>
                <c:pt idx="3">
                  <c:v>0.21444999999999997</c:v>
                </c:pt>
                <c:pt idx="4">
                  <c:v>0.54075000000000006</c:v>
                </c:pt>
                <c:pt idx="5">
                  <c:v>3.0949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3.0625000000000001E-3</c:v>
                </c:pt>
                <c:pt idx="1">
                  <c:v>1.7774999999999999E-2</c:v>
                </c:pt>
                <c:pt idx="2">
                  <c:v>3.9275000000000004E-2</c:v>
                </c:pt>
                <c:pt idx="3">
                  <c:v>0.29073749999999998</c:v>
                </c:pt>
                <c:pt idx="4">
                  <c:v>0.69238750000000004</c:v>
                </c:pt>
                <c:pt idx="5">
                  <c:v>3.8935500000000003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aseline="0">
                <a:solidFill>
                  <a:sysClr val="windowText" lastClr="000000"/>
                </a:solidFill>
              </a:rPr>
              <a:t>และ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สำหรับข้อมูลที่เรียงแบบสุ่ม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3.2374999999999991E-3</c:v>
                </c:pt>
                <c:pt idx="1">
                  <c:v>9.2087499999999989E-2</c:v>
                </c:pt>
                <c:pt idx="2">
                  <c:v>0.32903749999999998</c:v>
                </c:pt>
                <c:pt idx="3">
                  <c:v>8.5749499999999994</c:v>
                </c:pt>
                <c:pt idx="4">
                  <c:v>34.517949999999999</c:v>
                </c:pt>
                <c:pt idx="5">
                  <c:v>848.96680000000015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8-4445-A77D-2318717F7F6A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4.725E-3</c:v>
                </c:pt>
                <c:pt idx="1">
                  <c:v>0.11115</c:v>
                </c:pt>
                <c:pt idx="2">
                  <c:v>0.45730000000000004</c:v>
                </c:pt>
                <c:pt idx="3">
                  <c:v>10.927024999999999</c:v>
                </c:pt>
                <c:pt idx="4">
                  <c:v>45.488837500000002</c:v>
                </c:pt>
                <c:pt idx="5">
                  <c:v>1075.8161375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8-4445-A77D-2318717F7F6A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7.9500000000000005E-3</c:v>
                </c:pt>
                <c:pt idx="1">
                  <c:v>0.20223750000000001</c:v>
                </c:pt>
                <c:pt idx="2">
                  <c:v>0.8023125000000001</c:v>
                </c:pt>
                <c:pt idx="3">
                  <c:v>19.875374999999998</c:v>
                </c:pt>
                <c:pt idx="4">
                  <c:v>83.256074999999996</c:v>
                </c:pt>
                <c:pt idx="5">
                  <c:v>1988.4961750000002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88-4445-A77D-2318717F7F6A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2.8250000000000003E-3</c:v>
                </c:pt>
                <c:pt idx="1">
                  <c:v>1.7975000000000001E-2</c:v>
                </c:pt>
                <c:pt idx="2">
                  <c:v>3.8687499999999993E-2</c:v>
                </c:pt>
                <c:pt idx="3">
                  <c:v>0.36593750000000003</c:v>
                </c:pt>
                <c:pt idx="4">
                  <c:v>0.81251249999999997</c:v>
                </c:pt>
                <c:pt idx="5">
                  <c:v>4.5662125000000007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88-4445-A77D-2318717F7F6A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1.5999999999999999E-3</c:v>
                </c:pt>
                <c:pt idx="1">
                  <c:v>9.1750000000000009E-3</c:v>
                </c:pt>
                <c:pt idx="2">
                  <c:v>2.0137499999999999E-2</c:v>
                </c:pt>
                <c:pt idx="3">
                  <c:v>0.21444999999999997</c:v>
                </c:pt>
                <c:pt idx="4">
                  <c:v>0.54075000000000006</c:v>
                </c:pt>
                <c:pt idx="5">
                  <c:v>3.0949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88-4445-A77D-2318717F7F6A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3.0625000000000001E-3</c:v>
                </c:pt>
                <c:pt idx="1">
                  <c:v>1.7774999999999999E-2</c:v>
                </c:pt>
                <c:pt idx="2">
                  <c:v>3.9275000000000004E-2</c:v>
                </c:pt>
                <c:pt idx="3">
                  <c:v>0.29073749999999998</c:v>
                </c:pt>
                <c:pt idx="4">
                  <c:v>0.69238750000000004</c:v>
                </c:pt>
                <c:pt idx="5">
                  <c:v>3.8935500000000003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88-4445-A77D-2318717F7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397993873062349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insetion,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8.0000000000000015E-4</c:v>
                </c:pt>
                <c:pt idx="2">
                  <c:v>1.6125000000000002E-3</c:v>
                </c:pt>
                <c:pt idx="3">
                  <c:v>7.3875000000000017E-3</c:v>
                </c:pt>
                <c:pt idx="4">
                  <c:v>1.4450000000000003E-2</c:v>
                </c:pt>
                <c:pt idx="5">
                  <c:v>8.2174999999999998E-2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Sorted!$K$34</c:f>
              <c:strCache>
                <c:ptCount val="1"/>
                <c:pt idx="0">
                  <c:v>O(N)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Sorted!$L$34:$Q$34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sorted selection,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4.4124999999999998E-3</c:v>
                </c:pt>
                <c:pt idx="1">
                  <c:v>0.10567500000000001</c:v>
                </c:pt>
                <c:pt idx="2">
                  <c:v>0.42470000000000008</c:v>
                </c:pt>
                <c:pt idx="3">
                  <c:v>10.738949999999997</c:v>
                </c:pt>
                <c:pt idx="4">
                  <c:v>42.800525</c:v>
                </c:pt>
                <c:pt idx="5">
                  <c:v>1070.4900749999999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5.1124999999999999E-3</c:v>
                </c:pt>
                <c:pt idx="1">
                  <c:v>0.12496250000000002</c:v>
                </c:pt>
                <c:pt idx="2">
                  <c:v>0.49884999999999996</c:v>
                </c:pt>
                <c:pt idx="3">
                  <c:v>12.45715</c:v>
                </c:pt>
                <c:pt idx="4">
                  <c:v>50.051387499999997</c:v>
                </c:pt>
                <c:pt idx="5">
                  <c:v>1248.5817875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merge,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2.6750000000000003E-3</c:v>
                </c:pt>
                <c:pt idx="1">
                  <c:v>1.6037500000000003E-2</c:v>
                </c:pt>
                <c:pt idx="2">
                  <c:v>3.6924999999999999E-2</c:v>
                </c:pt>
                <c:pt idx="3">
                  <c:v>0.20457499999999998</c:v>
                </c:pt>
                <c:pt idx="4">
                  <c:v>0.43671249999999995</c:v>
                </c:pt>
                <c:pt idx="5">
                  <c:v>2.4870749999999999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4.3999999999999994E-3</c:v>
                </c:pt>
                <c:pt idx="1">
                  <c:v>9.3350000000000002E-2</c:v>
                </c:pt>
                <c:pt idx="2">
                  <c:v>0.38807499999999995</c:v>
                </c:pt>
                <c:pt idx="3">
                  <c:v>9.5362000000000009</c:v>
                </c:pt>
                <c:pt idx="4">
                  <c:v>38.011587500000005</c:v>
                </c:pt>
                <c:pt idx="5">
                  <c:v>945.68022500000006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2.5374999999999998E-3</c:v>
                </c:pt>
                <c:pt idx="1">
                  <c:v>1.2412500000000003E-2</c:v>
                </c:pt>
                <c:pt idx="2">
                  <c:v>2.9025000000000002E-2</c:v>
                </c:pt>
                <c:pt idx="3">
                  <c:v>0.15733749999999996</c:v>
                </c:pt>
                <c:pt idx="4">
                  <c:v>0.37109999999999999</c:v>
                </c:pt>
                <c:pt idx="5">
                  <c:v>2.7895749999999997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สำหรับข้อมูลที่เรียงจากน้อยไปมาก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8.0000000000000015E-4</c:v>
                </c:pt>
                <c:pt idx="2">
                  <c:v>1.6125000000000002E-3</c:v>
                </c:pt>
                <c:pt idx="3">
                  <c:v>7.3875000000000017E-3</c:v>
                </c:pt>
                <c:pt idx="4">
                  <c:v>1.4450000000000003E-2</c:v>
                </c:pt>
                <c:pt idx="5">
                  <c:v>8.2174999999999998E-2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98-43A4-B9AF-65E6AD936987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4.4124999999999998E-3</c:v>
                </c:pt>
                <c:pt idx="1">
                  <c:v>0.10567500000000001</c:v>
                </c:pt>
                <c:pt idx="2">
                  <c:v>0.42470000000000008</c:v>
                </c:pt>
                <c:pt idx="3">
                  <c:v>10.738949999999997</c:v>
                </c:pt>
                <c:pt idx="4">
                  <c:v>42.800525</c:v>
                </c:pt>
                <c:pt idx="5">
                  <c:v>1070.4900749999999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8-43A4-B9AF-65E6AD936987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5.1124999999999999E-3</c:v>
                </c:pt>
                <c:pt idx="1">
                  <c:v>0.12496250000000002</c:v>
                </c:pt>
                <c:pt idx="2">
                  <c:v>0.49884999999999996</c:v>
                </c:pt>
                <c:pt idx="3">
                  <c:v>12.45715</c:v>
                </c:pt>
                <c:pt idx="4">
                  <c:v>50.051387499999997</c:v>
                </c:pt>
                <c:pt idx="5">
                  <c:v>1248.5817875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8-43A4-B9AF-65E6AD936987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2.6750000000000003E-3</c:v>
                </c:pt>
                <c:pt idx="1">
                  <c:v>1.6037500000000003E-2</c:v>
                </c:pt>
                <c:pt idx="2">
                  <c:v>3.6924999999999999E-2</c:v>
                </c:pt>
                <c:pt idx="3">
                  <c:v>0.20457499999999998</c:v>
                </c:pt>
                <c:pt idx="4">
                  <c:v>0.43671249999999995</c:v>
                </c:pt>
                <c:pt idx="5">
                  <c:v>2.4870749999999999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98-43A4-B9AF-65E6AD936987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4.3999999999999994E-3</c:v>
                </c:pt>
                <c:pt idx="1">
                  <c:v>9.3350000000000002E-2</c:v>
                </c:pt>
                <c:pt idx="2">
                  <c:v>0.38807499999999995</c:v>
                </c:pt>
                <c:pt idx="3">
                  <c:v>9.5362000000000009</c:v>
                </c:pt>
                <c:pt idx="4">
                  <c:v>38.011587500000005</c:v>
                </c:pt>
                <c:pt idx="5">
                  <c:v>945.68022500000006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98-43A4-B9AF-65E6AD936987}"/>
            </c:ext>
          </c:extLst>
        </c:ser>
        <c:ser>
          <c:idx val="5"/>
          <c:order val="5"/>
          <c:tx>
            <c:v>Random Pivot Quick Sort</c:v>
          </c:tx>
          <c:spPr>
            <a:ln w="19050" cap="rnd" cmpd="sng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2.5374999999999998E-3</c:v>
                </c:pt>
                <c:pt idx="1">
                  <c:v>1.2412500000000003E-2</c:v>
                </c:pt>
                <c:pt idx="2">
                  <c:v>2.9025000000000002E-2</c:v>
                </c:pt>
                <c:pt idx="3">
                  <c:v>0.15733749999999996</c:v>
                </c:pt>
                <c:pt idx="4">
                  <c:v>0.37109999999999999</c:v>
                </c:pt>
                <c:pt idx="5">
                  <c:v>2.7895749999999997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98-43A4-B9AF-65E6AD936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5304243889883061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insetion,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6.9874999999999989E-3</c:v>
                </c:pt>
                <c:pt idx="1">
                  <c:v>0.17252500000000001</c:v>
                </c:pt>
                <c:pt idx="2">
                  <c:v>0.68552499999999994</c:v>
                </c:pt>
                <c:pt idx="3">
                  <c:v>16.905687500000003</c:v>
                </c:pt>
                <c:pt idx="4">
                  <c:v>67.898949999999999</c:v>
                </c:pt>
                <c:pt idx="5">
                  <c:v>1699.54865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selection,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0.12428749999999998</c:v>
                </c:pt>
                <c:pt idx="2">
                  <c:v>0.47798750000000001</c:v>
                </c:pt>
                <c:pt idx="3">
                  <c:v>11.9602</c:v>
                </c:pt>
                <c:pt idx="4">
                  <c:v>48.382975000000002</c:v>
                </c:pt>
                <c:pt idx="5">
                  <c:v>1211.3593874999999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rev-sorst</a:t>
            </a:r>
            <a:r>
              <a:rPr lang="en-US" baseline="0">
                <a:solidFill>
                  <a:schemeClr val="tx1"/>
                </a:solidFill>
              </a:rPr>
              <a:t> bubble,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1.0874999999999999E-2</c:v>
                </c:pt>
                <c:pt idx="1">
                  <c:v>0.25931249999999995</c:v>
                </c:pt>
                <c:pt idx="2">
                  <c:v>1.0002499999999999</c:v>
                </c:pt>
                <c:pt idx="3">
                  <c:v>25.497987499999997</c:v>
                </c:pt>
                <c:pt idx="4">
                  <c:v>101.96351250000001</c:v>
                </c:pt>
                <c:pt idx="5">
                  <c:v>2558.8650750000002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merge,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2.7250000000000004E-3</c:v>
                </c:pt>
                <c:pt idx="1">
                  <c:v>1.685E-2</c:v>
                </c:pt>
                <c:pt idx="2">
                  <c:v>3.5125000000000003E-2</c:v>
                </c:pt>
                <c:pt idx="3">
                  <c:v>0.21203749999999999</c:v>
                </c:pt>
                <c:pt idx="4">
                  <c:v>0.44373750000000001</c:v>
                </c:pt>
                <c:pt idx="5">
                  <c:v>2.5085625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4.0750000000000005E-3</c:v>
                </c:pt>
                <c:pt idx="1">
                  <c:v>0.10169999999999998</c:v>
                </c:pt>
                <c:pt idx="2">
                  <c:v>0.38579999999999998</c:v>
                </c:pt>
                <c:pt idx="3">
                  <c:v>9.5796749999999999</c:v>
                </c:pt>
                <c:pt idx="4">
                  <c:v>37.982999999999997</c:v>
                </c:pt>
                <c:pt idx="5">
                  <c:v>941.21522500000003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rev-sort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2.6749999999999994E-3</c:v>
                </c:pt>
                <c:pt idx="1">
                  <c:v>1.3599999999999999E-2</c:v>
                </c:pt>
                <c:pt idx="2">
                  <c:v>2.8712500000000002E-2</c:v>
                </c:pt>
                <c:pt idx="3">
                  <c:v>2.1148750000000001</c:v>
                </c:pt>
                <c:pt idx="4">
                  <c:v>18.998987500000002</c:v>
                </c:pt>
                <c:pt idx="5">
                  <c:v>706.74744999999996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สำหรับข้อมูลที่เรียงจากมากไปน้อย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6.9874999999999989E-3</c:v>
                </c:pt>
                <c:pt idx="1">
                  <c:v>0.17252500000000001</c:v>
                </c:pt>
                <c:pt idx="2">
                  <c:v>0.68552499999999994</c:v>
                </c:pt>
                <c:pt idx="3">
                  <c:v>16.905687500000003</c:v>
                </c:pt>
                <c:pt idx="4">
                  <c:v>67.898949999999999</c:v>
                </c:pt>
                <c:pt idx="5">
                  <c:v>1699.54865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4-4554-AAD5-D42A7952D2F3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0.12428749999999998</c:v>
                </c:pt>
                <c:pt idx="2">
                  <c:v>0.47798750000000001</c:v>
                </c:pt>
                <c:pt idx="3">
                  <c:v>11.9602</c:v>
                </c:pt>
                <c:pt idx="4">
                  <c:v>48.382975000000002</c:v>
                </c:pt>
                <c:pt idx="5">
                  <c:v>1211.3593874999999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4-4554-AAD5-D42A7952D2F3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1.0874999999999999E-2</c:v>
                </c:pt>
                <c:pt idx="1">
                  <c:v>0.25931249999999995</c:v>
                </c:pt>
                <c:pt idx="2">
                  <c:v>1.0002499999999999</c:v>
                </c:pt>
                <c:pt idx="3">
                  <c:v>25.497987499999997</c:v>
                </c:pt>
                <c:pt idx="4">
                  <c:v>101.96351250000001</c:v>
                </c:pt>
                <c:pt idx="5">
                  <c:v>2558.8650750000002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14-4554-AAD5-D42A7952D2F3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2.7250000000000004E-3</c:v>
                </c:pt>
                <c:pt idx="1">
                  <c:v>1.685E-2</c:v>
                </c:pt>
                <c:pt idx="2">
                  <c:v>3.5125000000000003E-2</c:v>
                </c:pt>
                <c:pt idx="3">
                  <c:v>0.21203749999999999</c:v>
                </c:pt>
                <c:pt idx="4">
                  <c:v>0.44373750000000001</c:v>
                </c:pt>
                <c:pt idx="5">
                  <c:v>2.5085625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14-4554-AAD5-D42A7952D2F3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4.0750000000000005E-3</c:v>
                </c:pt>
                <c:pt idx="1">
                  <c:v>0.10169999999999998</c:v>
                </c:pt>
                <c:pt idx="2">
                  <c:v>0.38579999999999998</c:v>
                </c:pt>
                <c:pt idx="3">
                  <c:v>9.5796749999999999</c:v>
                </c:pt>
                <c:pt idx="4">
                  <c:v>37.982999999999997</c:v>
                </c:pt>
                <c:pt idx="5">
                  <c:v>941.21522500000003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14-4554-AAD5-D42A7952D2F3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2.6749999999999994E-3</c:v>
                </c:pt>
                <c:pt idx="1">
                  <c:v>1.3599999999999999E-2</c:v>
                </c:pt>
                <c:pt idx="2">
                  <c:v>2.8712500000000002E-2</c:v>
                </c:pt>
                <c:pt idx="3">
                  <c:v>2.1148750000000001</c:v>
                </c:pt>
                <c:pt idx="4">
                  <c:v>18.998987500000002</c:v>
                </c:pt>
                <c:pt idx="5">
                  <c:v>706.74744999999996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14-4554-AAD5-D42A7952D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1368857169"/>
              <c:y val="0.94863882166878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FDED51B-9D30-4065-AEAF-4AB0DA5C718E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A9FBE8-7003-4753-846A-54A225A2CD57}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0A8E61-4671-46E2-8C74-39BDC2F11425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573618</xdr:colOff>
      <xdr:row>45</xdr:row>
      <xdr:rowOff>22071</xdr:rowOff>
    </xdr:from>
    <xdr:to>
      <xdr:col>8</xdr:col>
      <xdr:colOff>279785</xdr:colOff>
      <xdr:row>75</xdr:row>
      <xdr:rowOff>24571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D22D1A8-1330-C8BA-A06A-E57113D7C94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625755</xdr:colOff>
      <xdr:row>45</xdr:row>
      <xdr:rowOff>94261</xdr:rowOff>
    </xdr:from>
    <xdr:to>
      <xdr:col>16</xdr:col>
      <xdr:colOff>372028</xdr:colOff>
      <xdr:row>75</xdr:row>
      <xdr:rowOff>96761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759D0059-71F0-545D-7435-CC99599C827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717998</xdr:colOff>
      <xdr:row>45</xdr:row>
      <xdr:rowOff>106293</xdr:rowOff>
    </xdr:from>
    <xdr:to>
      <xdr:col>25</xdr:col>
      <xdr:colOff>424165</xdr:colOff>
      <xdr:row>75</xdr:row>
      <xdr:rowOff>108793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AE3305B6-53F6-47E4-443A-F5BDDFC9275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605702</xdr:colOff>
      <xdr:row>76</xdr:row>
      <xdr:rowOff>174471</xdr:rowOff>
    </xdr:from>
    <xdr:to>
      <xdr:col>8</xdr:col>
      <xdr:colOff>311869</xdr:colOff>
      <xdr:row>106</xdr:row>
      <xdr:rowOff>176971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938DD483-39B2-770F-CC4D-9D4E12C908D4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657839</xdr:colOff>
      <xdr:row>77</xdr:row>
      <xdr:rowOff>66187</xdr:rowOff>
    </xdr:from>
    <xdr:to>
      <xdr:col>16</xdr:col>
      <xdr:colOff>404112</xdr:colOff>
      <xdr:row>107</xdr:row>
      <xdr:rowOff>68687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0E2BEC4C-C25B-5C1B-BE57-D22FDE78CE5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28187</xdr:colOff>
      <xdr:row>77</xdr:row>
      <xdr:rowOff>78219</xdr:rowOff>
    </xdr:from>
    <xdr:to>
      <xdr:col>25</xdr:col>
      <xdr:colOff>456249</xdr:colOff>
      <xdr:row>107</xdr:row>
      <xdr:rowOff>80719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CEDFFEBD-22F1-9151-EB5A-EEEE33955977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B395D391-760E-AB54-B625-3A5D16781DF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514431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48AAAAD2-D47B-41E3-A838-A9063A8F110B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141944</xdr:colOff>
      <xdr:row>45</xdr:row>
      <xdr:rowOff>72190</xdr:rowOff>
    </xdr:from>
    <xdr:to>
      <xdr:col>16</xdr:col>
      <xdr:colOff>46060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63C3075-AF39-4789-9654-9A5B7309042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538987</xdr:colOff>
      <xdr:row>45</xdr:row>
      <xdr:rowOff>84222</xdr:rowOff>
    </xdr:from>
    <xdr:to>
      <xdr:col>25</xdr:col>
      <xdr:colOff>465590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CD310633-7430-4464-8015-A55E5838704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546515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159A4EB0-DEFC-47C5-858A-424581FC76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174028</xdr:colOff>
      <xdr:row>76</xdr:row>
      <xdr:rowOff>131202</xdr:rowOff>
    </xdr:from>
    <xdr:to>
      <xdr:col>16</xdr:col>
      <xdr:colOff>78144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64CD2695-954B-4C0C-A612-2795DE077C0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611176</xdr:colOff>
      <xdr:row>76</xdr:row>
      <xdr:rowOff>143234</xdr:rowOff>
    </xdr:from>
    <xdr:to>
      <xdr:col>25</xdr:col>
      <xdr:colOff>497674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643968B-4132-4D08-89FB-037F89B82FA9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F20F9CF1-AFE7-29B8-BCA9-A4E4E9026D1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231402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3158D529-F246-48BE-B9A6-FE24F8DA103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522944</xdr:colOff>
      <xdr:row>45</xdr:row>
      <xdr:rowOff>72190</xdr:rowOff>
    </xdr:from>
    <xdr:to>
      <xdr:col>15</xdr:col>
      <xdr:colOff>252888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C3473993-EA82-4D61-B663-B691AE05CD9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734930</xdr:colOff>
      <xdr:row>45</xdr:row>
      <xdr:rowOff>84222</xdr:rowOff>
    </xdr:from>
    <xdr:to>
      <xdr:col>24</xdr:col>
      <xdr:colOff>520018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B14CF756-2F8D-4B1E-A6F7-EA98FAA11C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263486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879D05D4-BC36-46CD-AC6F-3FC4AD47BBB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555028</xdr:colOff>
      <xdr:row>76</xdr:row>
      <xdr:rowOff>131202</xdr:rowOff>
    </xdr:from>
    <xdr:to>
      <xdr:col>15</xdr:col>
      <xdr:colOff>284972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EF9D30D4-A352-4209-B17D-CF97CC5A3CE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66890</xdr:colOff>
      <xdr:row>76</xdr:row>
      <xdr:rowOff>143234</xdr:rowOff>
    </xdr:from>
    <xdr:to>
      <xdr:col>24</xdr:col>
      <xdr:colOff>552102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34B8582-76BE-461C-8157-71A17735130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F592F22-AD07-5125-2635-544C1424BE9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data_collecting_filled%20(1).xlsx" TargetMode="External"/><Relationship Id="rId2" Type="http://schemas.openxmlformats.org/officeDocument/2006/relationships/externalLinkPath" Target="file:///C:\Users\phure\Downloads\data_collecting_filled%20(1).xlsx" TargetMode="External"/><Relationship Id="rId1" Type="http://schemas.openxmlformats.org/officeDocument/2006/relationships/externalLinkPath" Target="/Users/phure/Downloads/data_collecting_filled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ndom"/>
      <sheetName val="random_grpah"/>
      <sheetName val="Sorted"/>
      <sheetName val="sorted_grpah "/>
      <sheetName val="Rev-Sorted"/>
      <sheetName val="rev_sorted_grpah "/>
    </sheetNames>
    <sheetDataSet>
      <sheetData sheetId="0" refreshError="1"/>
      <sheetData sheetId="1" refreshError="1"/>
      <sheetData sheetId="2">
        <row r="35">
          <cell r="C35">
            <v>100</v>
          </cell>
          <cell r="D35">
            <v>500</v>
          </cell>
          <cell r="E35">
            <v>1000</v>
          </cell>
          <cell r="F35">
            <v>5000</v>
          </cell>
          <cell r="G35">
            <v>10000</v>
          </cell>
          <cell r="H35">
            <v>50000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4"/>
  <sheetViews>
    <sheetView tabSelected="1" zoomScale="52" zoomScaleNormal="40" workbookViewId="0">
      <selection activeCell="T38" sqref="T38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9" style="1" bestFit="1" customWidth="1"/>
    <col min="8" max="8" width="10.09765625" style="1" bestFit="1" customWidth="1"/>
    <col min="9" max="13" width="8.8984375" style="1" bestFit="1" customWidth="1"/>
    <col min="14" max="14" width="20.8984375" style="1" bestFit="1" customWidth="1"/>
    <col min="15" max="15" width="10.09765625" style="1" bestFit="1" customWidth="1"/>
    <col min="16" max="16" width="10.5" style="1" bestFit="1" customWidth="1"/>
    <col min="17" max="17" width="11.5" style="1" bestFit="1" customWidth="1"/>
    <col min="18" max="24" width="10.09765625" style="1" bestFit="1" customWidth="1"/>
    <col min="25" max="16384" width="8.796875" style="1"/>
  </cols>
  <sheetData>
    <row r="1" spans="1:24" x14ac:dyDescent="0.25">
      <c r="A1" s="16" t="s">
        <v>0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22" t="s">
        <v>1</v>
      </c>
      <c r="C4" s="19" t="s">
        <v>15</v>
      </c>
      <c r="D4" s="20"/>
      <c r="E4" s="20"/>
      <c r="F4" s="20"/>
      <c r="G4" s="20"/>
      <c r="H4" s="20"/>
      <c r="I4" s="20"/>
      <c r="J4" s="20"/>
      <c r="K4" s="20"/>
      <c r="L4" s="21"/>
      <c r="N4" s="22" t="s">
        <v>1</v>
      </c>
      <c r="O4" s="19" t="s">
        <v>15</v>
      </c>
      <c r="P4" s="20"/>
      <c r="Q4" s="20"/>
      <c r="R4" s="20"/>
      <c r="S4" s="20"/>
      <c r="T4" s="20"/>
      <c r="U4" s="20"/>
      <c r="V4" s="20"/>
      <c r="W4" s="20"/>
      <c r="X4" s="21"/>
    </row>
    <row r="5" spans="1:24" x14ac:dyDescent="0.25">
      <c r="B5" s="23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23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3.8999999999999998E-3</v>
      </c>
      <c r="D6" s="7">
        <v>3.8999999999999998E-3</v>
      </c>
      <c r="E6" s="7">
        <v>3.3E-3</v>
      </c>
      <c r="F6" s="7">
        <v>3.0999999999999999E-3</v>
      </c>
      <c r="G6" s="7">
        <v>3.2000000000000002E-3</v>
      </c>
      <c r="H6" s="7">
        <v>3.0999999999999999E-3</v>
      </c>
      <c r="I6" s="7">
        <v>3.0999999999999999E-3</v>
      </c>
      <c r="J6" s="7">
        <v>3.0999999999999999E-3</v>
      </c>
      <c r="K6" s="7">
        <v>3.0999999999999999E-3</v>
      </c>
      <c r="L6" s="7">
        <v>3.0999999999999999E-3</v>
      </c>
      <c r="N6" s="2" t="s">
        <v>16</v>
      </c>
      <c r="O6" s="7">
        <v>9.2700000000000005E-2</v>
      </c>
      <c r="P6" s="7">
        <v>9.2600000000000002E-2</v>
      </c>
      <c r="Q6" s="7">
        <v>9.2100000000000001E-2</v>
      </c>
      <c r="R6" s="7">
        <v>9.2100000000000001E-2</v>
      </c>
      <c r="S6" s="7">
        <v>9.1999999999999998E-2</v>
      </c>
      <c r="T6" s="7">
        <v>9.1999999999999998E-2</v>
      </c>
      <c r="U6" s="7">
        <v>9.1899999999999996E-2</v>
      </c>
      <c r="V6" s="7">
        <v>9.1999999999999998E-2</v>
      </c>
      <c r="W6" s="7">
        <v>9.1999999999999998E-2</v>
      </c>
      <c r="X6" s="7">
        <v>9.1899999999999996E-2</v>
      </c>
    </row>
    <row r="7" spans="1:24" x14ac:dyDescent="0.25">
      <c r="B7" s="2" t="s">
        <v>17</v>
      </c>
      <c r="C7" s="7">
        <v>7.1000000000000004E-3</v>
      </c>
      <c r="D7" s="7">
        <v>6.4999999999999997E-3</v>
      </c>
      <c r="E7" s="7">
        <v>4.7999999999999996E-3</v>
      </c>
      <c r="F7" s="7">
        <v>4.4000000000000003E-3</v>
      </c>
      <c r="G7" s="7">
        <v>4.4000000000000003E-3</v>
      </c>
      <c r="H7" s="7">
        <v>4.4000000000000003E-3</v>
      </c>
      <c r="I7" s="7">
        <v>4.4999999999999997E-3</v>
      </c>
      <c r="J7" s="7">
        <v>4.4000000000000003E-3</v>
      </c>
      <c r="K7" s="7">
        <v>4.4000000000000003E-3</v>
      </c>
      <c r="L7" s="7">
        <v>4.4000000000000003E-3</v>
      </c>
      <c r="N7" s="2" t="s">
        <v>17</v>
      </c>
      <c r="O7" s="7">
        <v>0.12089999999999999</v>
      </c>
      <c r="P7" s="7">
        <v>0.11650000000000001</v>
      </c>
      <c r="Q7" s="7">
        <v>0.1129</v>
      </c>
      <c r="R7" s="7">
        <v>0.11119999999999999</v>
      </c>
      <c r="S7" s="7">
        <v>0.1103</v>
      </c>
      <c r="T7" s="7">
        <v>0.10979999999999999</v>
      </c>
      <c r="U7" s="7">
        <v>0.1096</v>
      </c>
      <c r="V7" s="7">
        <v>0.1095</v>
      </c>
      <c r="W7" s="7">
        <v>0.1094</v>
      </c>
      <c r="X7" s="7">
        <v>0.1094</v>
      </c>
    </row>
    <row r="8" spans="1:24" x14ac:dyDescent="0.25">
      <c r="B8" s="2" t="s">
        <v>18</v>
      </c>
      <c r="C8" s="7">
        <v>1.0999999999999999E-2</v>
      </c>
      <c r="D8" s="7">
        <v>9.2999999999999992E-3</v>
      </c>
      <c r="E8" s="7">
        <v>7.9000000000000008E-3</v>
      </c>
      <c r="F8" s="7">
        <v>7.7999999999999996E-3</v>
      </c>
      <c r="G8" s="7">
        <v>7.7000000000000002E-3</v>
      </c>
      <c r="H8" s="7">
        <v>7.7999999999999996E-3</v>
      </c>
      <c r="I8" s="7">
        <v>7.7000000000000002E-3</v>
      </c>
      <c r="J8" s="7">
        <v>7.7000000000000002E-3</v>
      </c>
      <c r="K8" s="7">
        <v>7.7000000000000002E-3</v>
      </c>
      <c r="L8" s="7">
        <v>7.7000000000000002E-3</v>
      </c>
      <c r="N8" s="2" t="s">
        <v>18</v>
      </c>
      <c r="O8" s="7">
        <v>0.2261</v>
      </c>
      <c r="P8" s="7">
        <v>0.21310000000000001</v>
      </c>
      <c r="Q8" s="7">
        <v>0.20530000000000001</v>
      </c>
      <c r="R8" s="7">
        <v>0.20230000000000001</v>
      </c>
      <c r="S8" s="7">
        <v>0.2001</v>
      </c>
      <c r="T8" s="7">
        <v>0.1996</v>
      </c>
      <c r="U8" s="7">
        <v>0.19969999999999999</v>
      </c>
      <c r="V8" s="7">
        <v>0.19889999999999999</v>
      </c>
      <c r="W8" s="7">
        <v>0.19869999999999999</v>
      </c>
      <c r="X8" s="7">
        <v>0.19889999999999999</v>
      </c>
    </row>
    <row r="9" spans="1:24" x14ac:dyDescent="0.25">
      <c r="B9" s="2" t="s">
        <v>19</v>
      </c>
      <c r="C9" s="7">
        <v>5.1000000000000004E-3</v>
      </c>
      <c r="D9" s="7">
        <v>3.3E-3</v>
      </c>
      <c r="E9" s="7">
        <v>2.8E-3</v>
      </c>
      <c r="F9" s="7">
        <v>2.7000000000000001E-3</v>
      </c>
      <c r="G9" s="7">
        <v>2.8E-3</v>
      </c>
      <c r="H9" s="7">
        <v>2.8E-3</v>
      </c>
      <c r="I9" s="7">
        <v>2.8E-3</v>
      </c>
      <c r="J9" s="7">
        <v>2.7000000000000001E-3</v>
      </c>
      <c r="K9" s="7">
        <v>2.7000000000000001E-3</v>
      </c>
      <c r="L9" s="7">
        <v>2.7000000000000001E-3</v>
      </c>
      <c r="N9" s="2" t="s">
        <v>19</v>
      </c>
      <c r="O9" s="7">
        <v>2.81E-2</v>
      </c>
      <c r="P9" s="7">
        <v>1.9800000000000002E-2</v>
      </c>
      <c r="Q9" s="7">
        <v>1.7399999999999999E-2</v>
      </c>
      <c r="R9" s="7">
        <v>2.18E-2</v>
      </c>
      <c r="S9" s="7">
        <v>1.6899999999999998E-2</v>
      </c>
      <c r="T9" s="7">
        <v>1.7000000000000001E-2</v>
      </c>
      <c r="U9" s="7">
        <v>1.6899999999999998E-2</v>
      </c>
      <c r="V9" s="7">
        <v>1.6899999999999998E-2</v>
      </c>
      <c r="W9" s="7">
        <v>1.7000000000000001E-2</v>
      </c>
      <c r="X9" s="7">
        <v>1.7000000000000001E-2</v>
      </c>
    </row>
    <row r="10" spans="1:24" x14ac:dyDescent="0.25">
      <c r="B10" s="2" t="s">
        <v>20</v>
      </c>
      <c r="C10" s="7">
        <v>3.5999999999999999E-3</v>
      </c>
      <c r="D10" s="7">
        <v>3.0999999999999999E-3</v>
      </c>
      <c r="E10" s="7">
        <v>1.6999999999999999E-3</v>
      </c>
      <c r="F10" s="7">
        <v>1.2999999999999999E-3</v>
      </c>
      <c r="G10" s="7">
        <v>1.4E-3</v>
      </c>
      <c r="H10" s="7">
        <v>1.2999999999999999E-3</v>
      </c>
      <c r="I10" s="7">
        <v>1.2999999999999999E-3</v>
      </c>
      <c r="J10" s="7">
        <v>1.4E-3</v>
      </c>
      <c r="K10" s="7">
        <v>1.2999999999999999E-3</v>
      </c>
      <c r="L10" s="7">
        <v>1.1999999999999999E-3</v>
      </c>
      <c r="N10" s="2" t="s">
        <v>20</v>
      </c>
      <c r="O10" s="7">
        <v>1.9099999999999999E-2</v>
      </c>
      <c r="P10" s="7">
        <v>1.35E-2</v>
      </c>
      <c r="Q10" s="7">
        <v>1.04E-2</v>
      </c>
      <c r="R10" s="7">
        <v>8.3000000000000001E-3</v>
      </c>
      <c r="S10" s="7">
        <v>8.0000000000000002E-3</v>
      </c>
      <c r="T10" s="7">
        <v>8.2000000000000007E-3</v>
      </c>
      <c r="U10" s="7">
        <v>8.3000000000000001E-3</v>
      </c>
      <c r="V10" s="7">
        <v>8.3000000000000001E-3</v>
      </c>
      <c r="W10" s="7">
        <v>8.0999999999999996E-3</v>
      </c>
      <c r="X10" s="7">
        <v>8.3000000000000001E-3</v>
      </c>
    </row>
    <row r="11" spans="1:24" x14ac:dyDescent="0.25">
      <c r="B11" s="2" t="s">
        <v>21</v>
      </c>
      <c r="C11" s="8">
        <v>4.7999999999999996E-3</v>
      </c>
      <c r="D11" s="7">
        <v>3.2000000000000002E-3</v>
      </c>
      <c r="E11" s="7">
        <v>2.8E-3</v>
      </c>
      <c r="F11" s="7">
        <v>2.7000000000000001E-3</v>
      </c>
      <c r="G11" s="7">
        <v>3.0999999999999999E-3</v>
      </c>
      <c r="H11" s="7">
        <v>3.7000000000000002E-3</v>
      </c>
      <c r="I11" s="7">
        <v>3.0000000000000001E-3</v>
      </c>
      <c r="J11" s="7">
        <v>2.8E-3</v>
      </c>
      <c r="K11" s="7">
        <v>2.7000000000000001E-3</v>
      </c>
      <c r="L11" s="7">
        <v>3.2000000000000002E-3</v>
      </c>
      <c r="N11" s="2" t="s">
        <v>21</v>
      </c>
      <c r="O11" s="8">
        <v>2.6700000000000002E-2</v>
      </c>
      <c r="P11" s="7">
        <v>2.1000000000000001E-2</v>
      </c>
      <c r="Q11" s="7">
        <v>1.7100000000000001E-2</v>
      </c>
      <c r="R11" s="7">
        <v>1.5599999999999999E-2</v>
      </c>
      <c r="S11" s="7">
        <v>1.55E-2</v>
      </c>
      <c r="T11" s="7">
        <v>1.8700000000000001E-2</v>
      </c>
      <c r="U11" s="7">
        <v>1.7999999999999999E-2</v>
      </c>
      <c r="V11" s="7">
        <v>1.5699999999999999E-2</v>
      </c>
      <c r="W11" s="7">
        <v>1.9699999999999999E-2</v>
      </c>
      <c r="X11" s="7">
        <v>1.6400000000000001E-2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22" t="s">
        <v>1</v>
      </c>
      <c r="C14" s="19" t="s">
        <v>15</v>
      </c>
      <c r="D14" s="20"/>
      <c r="E14" s="20"/>
      <c r="F14" s="20"/>
      <c r="G14" s="20"/>
      <c r="H14" s="20"/>
      <c r="I14" s="20"/>
      <c r="J14" s="20"/>
      <c r="K14" s="20"/>
      <c r="L14" s="21"/>
      <c r="N14" s="22" t="s">
        <v>1</v>
      </c>
      <c r="O14" s="19" t="s">
        <v>15</v>
      </c>
      <c r="P14" s="20"/>
      <c r="Q14" s="20"/>
      <c r="R14" s="20"/>
      <c r="S14" s="20"/>
      <c r="T14" s="20"/>
      <c r="U14" s="20"/>
      <c r="V14" s="20"/>
      <c r="W14" s="20"/>
      <c r="X14" s="21"/>
    </row>
    <row r="15" spans="1:24" x14ac:dyDescent="0.25">
      <c r="B15" s="23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23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0.3281</v>
      </c>
      <c r="D16" s="7">
        <v>0.32750000000000001</v>
      </c>
      <c r="E16" s="7">
        <v>0.32669999999999999</v>
      </c>
      <c r="F16" s="7">
        <v>0.32679999999999998</v>
      </c>
      <c r="G16" s="7">
        <v>0.33689999999999998</v>
      </c>
      <c r="H16" s="7">
        <v>0.3286</v>
      </c>
      <c r="I16" s="7">
        <v>0.32850000000000001</v>
      </c>
      <c r="J16" s="7">
        <v>0.32879999999999998</v>
      </c>
      <c r="K16" s="7">
        <v>0.33379999999999999</v>
      </c>
      <c r="L16" s="7">
        <v>0.33019999999999999</v>
      </c>
      <c r="N16" s="2" t="s">
        <v>16</v>
      </c>
      <c r="O16" s="7">
        <v>8.9773999999999994</v>
      </c>
      <c r="P16" s="7">
        <v>8.3798999999999992</v>
      </c>
      <c r="Q16" s="7">
        <v>8.7765000000000004</v>
      </c>
      <c r="R16" s="7">
        <v>8.6914999999999996</v>
      </c>
      <c r="S16" s="7">
        <v>8.3993000000000002</v>
      </c>
      <c r="T16" s="7">
        <v>8.6715999999999998</v>
      </c>
      <c r="U16" s="7">
        <v>8.4224999999999994</v>
      </c>
      <c r="V16" s="7">
        <v>8.5189000000000004</v>
      </c>
      <c r="W16" s="7">
        <v>8.5299999999999994</v>
      </c>
      <c r="X16" s="7">
        <v>8.5892999999999997</v>
      </c>
    </row>
    <row r="17" spans="2:24" x14ac:dyDescent="0.25">
      <c r="B17" s="2" t="s">
        <v>17</v>
      </c>
      <c r="C17" s="7">
        <v>0.50509999999999999</v>
      </c>
      <c r="D17" s="7">
        <v>0.48630000000000001</v>
      </c>
      <c r="E17" s="7">
        <v>0.45279999999999998</v>
      </c>
      <c r="F17" s="7">
        <v>0.4451</v>
      </c>
      <c r="G17" s="7">
        <v>0.44879999999999998</v>
      </c>
      <c r="H17" s="7">
        <v>0.44230000000000003</v>
      </c>
      <c r="I17" s="7">
        <v>0.44719999999999999</v>
      </c>
      <c r="J17" s="7">
        <v>0.44369999999999998</v>
      </c>
      <c r="K17" s="7">
        <v>0.44359999999999999</v>
      </c>
      <c r="L17" s="7">
        <v>0.4909</v>
      </c>
      <c r="N17" s="2" t="s">
        <v>17</v>
      </c>
      <c r="O17" s="7">
        <v>10.8446</v>
      </c>
      <c r="P17" s="7">
        <v>10.9262</v>
      </c>
      <c r="Q17" s="7">
        <v>10.9701</v>
      </c>
      <c r="R17" s="7">
        <v>11.167899999999999</v>
      </c>
      <c r="S17" s="7">
        <v>10.581</v>
      </c>
      <c r="T17" s="7">
        <v>10.9725</v>
      </c>
      <c r="U17" s="7">
        <v>10.822800000000001</v>
      </c>
      <c r="V17" s="7">
        <v>10.866300000000001</v>
      </c>
      <c r="W17" s="7">
        <v>10.845800000000001</v>
      </c>
      <c r="X17" s="7">
        <v>11.6493</v>
      </c>
    </row>
    <row r="18" spans="2:24" x14ac:dyDescent="0.25">
      <c r="B18" s="2" t="s">
        <v>18</v>
      </c>
      <c r="C18" s="7">
        <v>0.81579999999999997</v>
      </c>
      <c r="D18" s="7">
        <v>0.82269999999999999</v>
      </c>
      <c r="E18" s="7">
        <v>0.80210000000000004</v>
      </c>
      <c r="F18" s="7">
        <v>0.7984</v>
      </c>
      <c r="G18" s="7">
        <v>0.80320000000000003</v>
      </c>
      <c r="H18" s="7">
        <v>0.80300000000000005</v>
      </c>
      <c r="I18" s="7">
        <v>0.80659999999999998</v>
      </c>
      <c r="J18" s="7">
        <v>0.79400000000000004</v>
      </c>
      <c r="K18" s="7">
        <v>0.79269999999999996</v>
      </c>
      <c r="L18" s="7">
        <v>0.7954</v>
      </c>
      <c r="N18" s="2" t="s">
        <v>18</v>
      </c>
      <c r="O18" s="7">
        <v>19.862400000000001</v>
      </c>
      <c r="P18" s="7">
        <v>19.755299999999998</v>
      </c>
      <c r="Q18" s="7">
        <v>19.978100000000001</v>
      </c>
      <c r="R18" s="7">
        <v>19.949100000000001</v>
      </c>
      <c r="S18" s="7">
        <v>19.834800000000001</v>
      </c>
      <c r="T18" s="7">
        <v>19.773099999999999</v>
      </c>
      <c r="U18" s="7">
        <v>19.981400000000001</v>
      </c>
      <c r="V18" s="7">
        <v>20.439800000000002</v>
      </c>
      <c r="W18" s="7">
        <v>19.6172</v>
      </c>
      <c r="X18" s="7">
        <v>19.8688</v>
      </c>
    </row>
    <row r="19" spans="2:24" x14ac:dyDescent="0.25">
      <c r="B19" s="2" t="s">
        <v>19</v>
      </c>
      <c r="C19" s="7">
        <v>6.1899999999999997E-2</v>
      </c>
      <c r="D19" s="7">
        <v>4.4600000000000001E-2</v>
      </c>
      <c r="E19" s="7">
        <v>3.9100000000000003E-2</v>
      </c>
      <c r="F19" s="7">
        <v>3.8100000000000002E-2</v>
      </c>
      <c r="G19" s="7">
        <v>3.7499999999999999E-2</v>
      </c>
      <c r="H19" s="7">
        <v>3.7600000000000001E-2</v>
      </c>
      <c r="I19" s="7">
        <v>3.7600000000000001E-2</v>
      </c>
      <c r="J19" s="7">
        <v>3.7499999999999999E-2</v>
      </c>
      <c r="K19" s="7">
        <v>3.7499999999999999E-2</v>
      </c>
      <c r="L19" s="7">
        <v>3.7400000000000003E-2</v>
      </c>
      <c r="N19" s="2" t="s">
        <v>19</v>
      </c>
      <c r="O19" s="7">
        <v>0.39889999999999998</v>
      </c>
      <c r="P19" s="7">
        <v>0.48959999999999998</v>
      </c>
      <c r="Q19" s="7">
        <v>0.48099999999999998</v>
      </c>
      <c r="R19" s="7">
        <v>0.3679</v>
      </c>
      <c r="S19" s="7">
        <v>0.34699999999999998</v>
      </c>
      <c r="T19" s="7">
        <v>0.34429999999999999</v>
      </c>
      <c r="U19" s="7">
        <v>0.33129999999999998</v>
      </c>
      <c r="V19" s="7">
        <v>0.32769999999999999</v>
      </c>
      <c r="W19" s="7">
        <v>0.32940000000000003</v>
      </c>
      <c r="X19" s="7">
        <v>0.31380000000000002</v>
      </c>
    </row>
    <row r="20" spans="2:24" x14ac:dyDescent="0.25">
      <c r="B20" s="2" t="s">
        <v>20</v>
      </c>
      <c r="C20" s="7">
        <v>4.3299999999999998E-2</v>
      </c>
      <c r="D20" s="7">
        <v>3.2500000000000001E-2</v>
      </c>
      <c r="E20" s="7">
        <v>2.06E-2</v>
      </c>
      <c r="F20" s="7">
        <v>1.84E-2</v>
      </c>
      <c r="G20" s="7">
        <v>1.7899999999999999E-2</v>
      </c>
      <c r="H20" s="7">
        <v>1.7899999999999999E-2</v>
      </c>
      <c r="I20" s="7">
        <v>1.7899999999999999E-2</v>
      </c>
      <c r="J20" s="7">
        <v>1.7999999999999999E-2</v>
      </c>
      <c r="K20" s="7">
        <v>1.78E-2</v>
      </c>
      <c r="L20" s="7">
        <v>1.7899999999999999E-2</v>
      </c>
      <c r="N20" s="2" t="s">
        <v>20</v>
      </c>
      <c r="O20" s="7">
        <v>0.24690000000000001</v>
      </c>
      <c r="P20" s="7">
        <v>0.2394</v>
      </c>
      <c r="Q20" s="7">
        <v>0.22950000000000001</v>
      </c>
      <c r="R20" s="7">
        <v>0.22600000000000001</v>
      </c>
      <c r="S20" s="7">
        <v>0.21920000000000001</v>
      </c>
      <c r="T20" s="7">
        <v>0.21010000000000001</v>
      </c>
      <c r="U20" s="7">
        <v>0.20449999999999999</v>
      </c>
      <c r="V20" s="7">
        <v>0.19570000000000001</v>
      </c>
      <c r="W20" s="7">
        <v>0.19120000000000001</v>
      </c>
      <c r="X20" s="7">
        <v>0.18759999999999999</v>
      </c>
    </row>
    <row r="21" spans="2:24" x14ac:dyDescent="0.25">
      <c r="B21" s="2" t="s">
        <v>21</v>
      </c>
      <c r="C21" s="8">
        <v>5.7799999999999997E-2</v>
      </c>
      <c r="D21" s="7">
        <v>4.6300000000000001E-2</v>
      </c>
      <c r="E21" s="7">
        <v>4.4900000000000002E-2</v>
      </c>
      <c r="F21" s="7">
        <v>4.1000000000000002E-2</v>
      </c>
      <c r="G21" s="7">
        <v>3.4000000000000002E-2</v>
      </c>
      <c r="H21" s="7">
        <v>3.3099999999999997E-2</v>
      </c>
      <c r="I21" s="7">
        <v>3.2800000000000003E-2</v>
      </c>
      <c r="J21" s="7">
        <v>4.24E-2</v>
      </c>
      <c r="K21" s="7">
        <v>3.8899999999999997E-2</v>
      </c>
      <c r="L21" s="7">
        <v>3.3599999999999998E-2</v>
      </c>
      <c r="N21" s="2" t="s">
        <v>21</v>
      </c>
      <c r="O21" s="8">
        <v>0.32369999999999999</v>
      </c>
      <c r="P21" s="7">
        <v>0.3135</v>
      </c>
      <c r="Q21" s="7">
        <v>0.3049</v>
      </c>
      <c r="R21" s="7">
        <v>0.2984</v>
      </c>
      <c r="S21" s="7">
        <v>0.30049999999999999</v>
      </c>
      <c r="T21" s="7">
        <v>0.2853</v>
      </c>
      <c r="U21" s="7">
        <v>0.27879999999999999</v>
      </c>
      <c r="V21" s="7">
        <v>0.27310000000000001</v>
      </c>
      <c r="W21" s="7">
        <v>0.27139999999999997</v>
      </c>
      <c r="X21" s="7">
        <v>0.26669999999999999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22" t="s">
        <v>1</v>
      </c>
      <c r="C24" s="19" t="s">
        <v>15</v>
      </c>
      <c r="D24" s="20"/>
      <c r="E24" s="20"/>
      <c r="F24" s="20"/>
      <c r="G24" s="20"/>
      <c r="H24" s="20"/>
      <c r="I24" s="20"/>
      <c r="J24" s="20"/>
      <c r="K24" s="20"/>
      <c r="L24" s="21"/>
      <c r="N24" s="22" t="s">
        <v>1</v>
      </c>
      <c r="O24" s="19" t="s">
        <v>15</v>
      </c>
      <c r="P24" s="20"/>
      <c r="Q24" s="20"/>
      <c r="R24" s="20"/>
      <c r="S24" s="20"/>
      <c r="T24" s="20"/>
      <c r="U24" s="20"/>
      <c r="V24" s="20"/>
      <c r="W24" s="20"/>
      <c r="X24" s="21"/>
    </row>
    <row r="25" spans="2:24" x14ac:dyDescent="0.25">
      <c r="B25" s="23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23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36.0854</v>
      </c>
      <c r="D26" s="7">
        <v>36.509799999999998</v>
      </c>
      <c r="E26" s="7">
        <v>33.868099999999998</v>
      </c>
      <c r="F26" s="7">
        <v>34.219299999999997</v>
      </c>
      <c r="G26" s="7">
        <v>34.019300000000001</v>
      </c>
      <c r="H26" s="7">
        <v>34.027700000000003</v>
      </c>
      <c r="I26" s="7">
        <v>34.375999999999998</v>
      </c>
      <c r="J26" s="7">
        <v>33.9512</v>
      </c>
      <c r="K26" s="7">
        <v>33.910499999999999</v>
      </c>
      <c r="L26" s="7">
        <v>35.554200000000002</v>
      </c>
      <c r="N26" s="2" t="s">
        <v>16</v>
      </c>
      <c r="O26" s="7">
        <v>868.13469999999995</v>
      </c>
      <c r="P26" s="7">
        <v>849.78009999999995</v>
      </c>
      <c r="Q26" s="7">
        <v>854.62429999999995</v>
      </c>
      <c r="R26" s="7">
        <v>848.30889999999999</v>
      </c>
      <c r="S26" s="7">
        <v>848.26819999999998</v>
      </c>
      <c r="T26" s="7">
        <v>846.68939999999998</v>
      </c>
      <c r="U26" s="7">
        <v>846.56410000000005</v>
      </c>
      <c r="V26" s="7">
        <v>848.04020000000003</v>
      </c>
      <c r="W26" s="7">
        <v>849.45920000000001</v>
      </c>
      <c r="X26" s="7">
        <v>846.13109999999995</v>
      </c>
    </row>
    <row r="27" spans="2:24" x14ac:dyDescent="0.25">
      <c r="B27" s="2" t="s">
        <v>17</v>
      </c>
      <c r="C27" s="7">
        <v>46.733600000000003</v>
      </c>
      <c r="D27" s="7">
        <v>47.954599999999999</v>
      </c>
      <c r="E27" s="7">
        <v>45.374899999999997</v>
      </c>
      <c r="F27" s="7">
        <v>44.984900000000003</v>
      </c>
      <c r="G27" s="7">
        <v>47.805799999999998</v>
      </c>
      <c r="H27" s="7">
        <v>45.228400000000001</v>
      </c>
      <c r="I27" s="7">
        <v>44.974200000000003</v>
      </c>
      <c r="J27" s="7">
        <v>44.585000000000001</v>
      </c>
      <c r="K27" s="7">
        <v>44.2239</v>
      </c>
      <c r="L27" s="7">
        <v>43.9114</v>
      </c>
      <c r="N27" s="2" t="s">
        <v>17</v>
      </c>
      <c r="O27" s="7">
        <v>1071.5481</v>
      </c>
      <c r="P27" s="7">
        <v>1090.5035</v>
      </c>
      <c r="Q27" s="7">
        <v>1152.9730999999999</v>
      </c>
      <c r="R27" s="7">
        <v>1079.67</v>
      </c>
      <c r="S27" s="7">
        <v>1071.8521000000001</v>
      </c>
      <c r="T27" s="7">
        <v>1076.0916999999999</v>
      </c>
      <c r="U27" s="7">
        <v>1070.2357</v>
      </c>
      <c r="V27" s="7">
        <v>1070.7905000000001</v>
      </c>
      <c r="W27" s="7">
        <v>1074.7999</v>
      </c>
      <c r="X27" s="7">
        <v>1071.2733000000001</v>
      </c>
    </row>
    <row r="28" spans="2:24" x14ac:dyDescent="0.25">
      <c r="B28" s="2" t="s">
        <v>18</v>
      </c>
      <c r="C28" s="7">
        <v>79.555599999999998</v>
      </c>
      <c r="D28" s="7">
        <v>82.736500000000007</v>
      </c>
      <c r="E28" s="7">
        <v>81.874399999999994</v>
      </c>
      <c r="F28" s="7">
        <v>84.866299999999995</v>
      </c>
      <c r="G28" s="7">
        <v>83.398899999999998</v>
      </c>
      <c r="H28" s="7">
        <v>83.856399999999994</v>
      </c>
      <c r="I28" s="7">
        <v>83.703199999999995</v>
      </c>
      <c r="J28" s="7">
        <v>83.741500000000002</v>
      </c>
      <c r="K28" s="7">
        <v>83.297600000000003</v>
      </c>
      <c r="L28" s="7">
        <v>83.440100000000001</v>
      </c>
      <c r="N28" s="2" t="s">
        <v>18</v>
      </c>
      <c r="O28" s="7">
        <v>1992.8765000000001</v>
      </c>
      <c r="P28" s="7">
        <v>1989.4703</v>
      </c>
      <c r="Q28" s="7">
        <v>1993.2145</v>
      </c>
      <c r="R28" s="7">
        <v>1985.0156999999999</v>
      </c>
      <c r="S28" s="7">
        <v>2013.2155</v>
      </c>
      <c r="T28" s="7">
        <v>1981.0583999999999</v>
      </c>
      <c r="U28" s="7">
        <v>1991.2945</v>
      </c>
      <c r="V28" s="7">
        <v>1982.3389</v>
      </c>
      <c r="W28" s="7">
        <v>1990.1155000000001</v>
      </c>
      <c r="X28" s="7">
        <v>1983.6434999999999</v>
      </c>
    </row>
    <row r="29" spans="2:24" x14ac:dyDescent="0.25">
      <c r="B29" s="2" t="s">
        <v>19</v>
      </c>
      <c r="C29" s="7">
        <v>0.87250000000000005</v>
      </c>
      <c r="D29" s="7">
        <v>0.80549999999999999</v>
      </c>
      <c r="E29" s="7">
        <v>0.80269999999999997</v>
      </c>
      <c r="F29" s="7">
        <v>0.79690000000000005</v>
      </c>
      <c r="G29" s="7">
        <v>0.80130000000000001</v>
      </c>
      <c r="H29" s="7">
        <v>0.79749999999999999</v>
      </c>
      <c r="I29" s="7">
        <v>0.84009999999999996</v>
      </c>
      <c r="J29" s="7">
        <v>0.81840000000000002</v>
      </c>
      <c r="K29" s="7">
        <v>0.81240000000000001</v>
      </c>
      <c r="L29" s="7">
        <v>0.82220000000000004</v>
      </c>
      <c r="N29" s="2" t="s">
        <v>19</v>
      </c>
      <c r="O29" s="7">
        <v>4.6365999999999996</v>
      </c>
      <c r="P29" s="7">
        <v>4.5749000000000004</v>
      </c>
      <c r="Q29" s="7">
        <v>4.5422000000000002</v>
      </c>
      <c r="R29" s="7">
        <v>4.5556999999999999</v>
      </c>
      <c r="S29" s="7">
        <v>4.6478000000000002</v>
      </c>
      <c r="T29" s="7">
        <v>4.5381</v>
      </c>
      <c r="U29" s="7">
        <v>4.5664999999999996</v>
      </c>
      <c r="V29" s="7">
        <v>4.8815999999999997</v>
      </c>
      <c r="W29" s="7">
        <v>4.4542000000000002</v>
      </c>
      <c r="X29" s="7">
        <v>4.4679000000000002</v>
      </c>
    </row>
    <row r="30" spans="2:24" x14ac:dyDescent="0.25">
      <c r="B30" s="2" t="s">
        <v>20</v>
      </c>
      <c r="C30" s="7">
        <v>0.5514</v>
      </c>
      <c r="D30" s="7">
        <v>0.54400000000000004</v>
      </c>
      <c r="E30" s="7">
        <v>0.54100000000000004</v>
      </c>
      <c r="F30" s="7">
        <v>0.53310000000000002</v>
      </c>
      <c r="G30" s="7">
        <v>0.53280000000000005</v>
      </c>
      <c r="H30" s="7">
        <v>0.53800000000000003</v>
      </c>
      <c r="I30" s="7">
        <v>0.54359999999999997</v>
      </c>
      <c r="J30" s="7">
        <v>0.53590000000000004</v>
      </c>
      <c r="K30" s="7">
        <v>0.69499999999999995</v>
      </c>
      <c r="L30" s="7">
        <v>0.53900000000000003</v>
      </c>
      <c r="N30" s="2" t="s">
        <v>20</v>
      </c>
      <c r="O30" s="7">
        <v>3.0779000000000001</v>
      </c>
      <c r="P30" s="7">
        <v>3.5038</v>
      </c>
      <c r="Q30" s="7">
        <v>3.0491000000000001</v>
      </c>
      <c r="R30" s="7">
        <v>3.0448</v>
      </c>
      <c r="S30" s="7">
        <v>3.0613999999999999</v>
      </c>
      <c r="T30" s="7">
        <v>3.0707</v>
      </c>
      <c r="U30" s="7">
        <v>3.1352000000000002</v>
      </c>
      <c r="V30" s="7">
        <v>3.0949</v>
      </c>
      <c r="W30" s="7">
        <v>3.1633</v>
      </c>
      <c r="X30" s="7">
        <v>3.1067</v>
      </c>
    </row>
    <row r="31" spans="2:24" x14ac:dyDescent="0.25">
      <c r="B31" s="2" t="s">
        <v>21</v>
      </c>
      <c r="C31" s="8">
        <v>0.70840000000000003</v>
      </c>
      <c r="D31" s="7">
        <v>0.70630000000000004</v>
      </c>
      <c r="E31" s="7">
        <v>0.69440000000000002</v>
      </c>
      <c r="F31" s="7">
        <v>0.69259999999999999</v>
      </c>
      <c r="G31" s="7">
        <v>0.69130000000000003</v>
      </c>
      <c r="H31" s="7">
        <v>0.69830000000000003</v>
      </c>
      <c r="I31" s="7">
        <v>0.68640000000000001</v>
      </c>
      <c r="J31" s="7">
        <v>0.68559999999999999</v>
      </c>
      <c r="K31" s="7">
        <v>0.68230000000000002</v>
      </c>
      <c r="L31" s="7">
        <v>0.68420000000000003</v>
      </c>
      <c r="N31" s="2" t="s">
        <v>21</v>
      </c>
      <c r="O31" s="8">
        <v>3.8971</v>
      </c>
      <c r="P31" s="7">
        <v>3.9605999999999999</v>
      </c>
      <c r="Q31" s="7">
        <v>3.9091999999999998</v>
      </c>
      <c r="R31" s="7">
        <v>3.9257</v>
      </c>
      <c r="S31" s="7">
        <v>3.9053</v>
      </c>
      <c r="T31" s="7">
        <v>4.2199</v>
      </c>
      <c r="U31" s="7">
        <v>3.7858000000000001</v>
      </c>
      <c r="V31" s="7">
        <v>3.8134000000000001</v>
      </c>
      <c r="W31" s="7">
        <v>3.8363999999999998</v>
      </c>
      <c r="X31" s="7">
        <v>3.9007000000000001</v>
      </c>
    </row>
    <row r="34" spans="2:17" x14ac:dyDescent="0.25">
      <c r="B34" s="22" t="s">
        <v>1</v>
      </c>
      <c r="C34" s="24" t="s">
        <v>22</v>
      </c>
      <c r="D34" s="25"/>
      <c r="E34" s="25"/>
      <c r="F34" s="25"/>
      <c r="G34" s="25"/>
      <c r="H34" s="26"/>
      <c r="K34" s="1" t="s">
        <v>25</v>
      </c>
      <c r="L34" s="1">
        <f>[1]Sorted!C35</f>
        <v>100</v>
      </c>
      <c r="M34" s="1">
        <f>[1]Sorted!D35</f>
        <v>500</v>
      </c>
      <c r="N34" s="1">
        <f>[1]Sorted!E35</f>
        <v>1000</v>
      </c>
      <c r="O34" s="1">
        <f>[1]Sorted!F35</f>
        <v>5000</v>
      </c>
      <c r="P34" s="1">
        <f>[1]Sorted!G35</f>
        <v>10000</v>
      </c>
      <c r="Q34" s="1">
        <f>[1]Sorted!H35</f>
        <v>50000</v>
      </c>
    </row>
    <row r="35" spans="2:17" x14ac:dyDescent="0.25">
      <c r="B35" s="23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f>[1]Sorted!C35^2</f>
        <v>10000</v>
      </c>
      <c r="M35" s="1">
        <f>[1]Sorted!D35^2</f>
        <v>250000</v>
      </c>
      <c r="N35" s="1">
        <f>[1]Sorted!E35^2</f>
        <v>1000000</v>
      </c>
      <c r="O35" s="1">
        <f>[1]Sorted!F35^2</f>
        <v>25000000</v>
      </c>
      <c r="P35" s="1">
        <f>[1]Sorted!G35^2</f>
        <v>100000000</v>
      </c>
      <c r="Q35" s="1">
        <f>[1]Sorted!H35^2</f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3.2374999999999991E-3</v>
      </c>
      <c r="D36" s="7">
        <f t="shared" ref="D36:D41" si="1">IF(COUNTBLANK(O6:X6)&gt;0,"undone",TRIMMEAN(O6:X6,2/COUNT(O6:X6)))</f>
        <v>9.2087499999999989E-2</v>
      </c>
      <c r="E36" s="7">
        <f t="shared" ref="E36:E41" si="2">IF(COUNTBLANK(C16:L16)&gt;0,"undone",TRIMMEAN(C16:L16,2/COUNT(C16:L16)))</f>
        <v>0.32903749999999998</v>
      </c>
      <c r="F36" s="7">
        <f t="shared" ref="F36:F41" si="3">IF(COUNTBLANK(O16:X16)&gt;0,"undone",TRIMMEAN(O16:X16,2/COUNT(O16:X16)))</f>
        <v>8.5749499999999994</v>
      </c>
      <c r="G36" s="7">
        <f t="shared" ref="G36:G41" si="4">IF(COUNTBLANK(C26:L26)&gt;0,"undone",TRIMMEAN(C26:L26,2/COUNT(C26:L26)))</f>
        <v>34.517949999999999</v>
      </c>
      <c r="H36" s="7">
        <f t="shared" ref="H36:H41" si="5">IF(COUNTBLANK(O26:X26)&gt;0,"undone",TRIMMEAN(O26:X26,2/COUNT(O26:X26)))</f>
        <v>848.96680000000015</v>
      </c>
      <c r="K36" s="1" t="s">
        <v>26</v>
      </c>
      <c r="L36" s="1">
        <f>[1]Sorted!C35*LOG([1]Sorted!C35)</f>
        <v>200</v>
      </c>
      <c r="M36" s="1">
        <f>[1]Sorted!D35*LOG([1]Sorted!D35)</f>
        <v>1349.4850021680095</v>
      </c>
      <c r="N36" s="1">
        <f>[1]Sorted!E35*LOG([1]Sorted!E35)</f>
        <v>3000</v>
      </c>
      <c r="O36" s="1">
        <f>[1]Sorted!F35*LOG([1]Sorted!F35)</f>
        <v>18494.850021680093</v>
      </c>
      <c r="P36" s="1">
        <f>[1]Sorted!G35*LOG([1]Sorted!G35)</f>
        <v>40000</v>
      </c>
      <c r="Q36" s="1">
        <f>[1]Sorted!H35*LOG([1]Sorted!H35)</f>
        <v>234948.50021680092</v>
      </c>
    </row>
    <row r="37" spans="2:17" x14ac:dyDescent="0.25">
      <c r="B37" s="2" t="s">
        <v>17</v>
      </c>
      <c r="C37" s="7">
        <f t="shared" si="0"/>
        <v>4.725E-3</v>
      </c>
      <c r="D37" s="7">
        <f t="shared" si="1"/>
        <v>0.11115</v>
      </c>
      <c r="E37" s="7">
        <f t="shared" si="2"/>
        <v>0.45730000000000004</v>
      </c>
      <c r="F37" s="7">
        <f t="shared" si="3"/>
        <v>10.927024999999999</v>
      </c>
      <c r="G37" s="7">
        <f t="shared" si="4"/>
        <v>45.488837500000002</v>
      </c>
      <c r="H37" s="7">
        <f t="shared" si="5"/>
        <v>1075.8161375</v>
      </c>
    </row>
    <row r="38" spans="2:17" x14ac:dyDescent="0.25">
      <c r="B38" s="2" t="s">
        <v>18</v>
      </c>
      <c r="C38" s="7">
        <f t="shared" si="0"/>
        <v>7.9500000000000005E-3</v>
      </c>
      <c r="D38" s="7">
        <f t="shared" si="1"/>
        <v>0.20223750000000001</v>
      </c>
      <c r="E38" s="7">
        <f t="shared" si="2"/>
        <v>0.8023125000000001</v>
      </c>
      <c r="F38" s="7">
        <f t="shared" si="3"/>
        <v>19.875374999999998</v>
      </c>
      <c r="G38" s="7">
        <f t="shared" si="4"/>
        <v>83.256074999999996</v>
      </c>
      <c r="H38" s="7">
        <f t="shared" si="5"/>
        <v>1988.4961750000002</v>
      </c>
    </row>
    <row r="39" spans="2:17" x14ac:dyDescent="0.25">
      <c r="B39" s="2" t="s">
        <v>19</v>
      </c>
      <c r="C39" s="7">
        <f t="shared" si="0"/>
        <v>2.8250000000000003E-3</v>
      </c>
      <c r="D39" s="7">
        <f t="shared" si="1"/>
        <v>1.7975000000000001E-2</v>
      </c>
      <c r="E39" s="7">
        <f t="shared" si="2"/>
        <v>3.8687499999999993E-2</v>
      </c>
      <c r="F39" s="7">
        <f t="shared" si="3"/>
        <v>0.36593750000000003</v>
      </c>
      <c r="G39" s="7">
        <f t="shared" si="4"/>
        <v>0.81251249999999997</v>
      </c>
      <c r="H39" s="7">
        <f t="shared" si="5"/>
        <v>4.5662125000000007</v>
      </c>
      <c r="J39" s="9"/>
    </row>
    <row r="40" spans="2:17" x14ac:dyDescent="0.25">
      <c r="B40" s="2" t="s">
        <v>20</v>
      </c>
      <c r="C40" s="7">
        <f t="shared" si="0"/>
        <v>1.5999999999999999E-3</v>
      </c>
      <c r="D40" s="7">
        <f t="shared" si="1"/>
        <v>9.1750000000000009E-3</v>
      </c>
      <c r="E40" s="7">
        <f t="shared" si="2"/>
        <v>2.0137499999999999E-2</v>
      </c>
      <c r="F40" s="7">
        <f t="shared" si="3"/>
        <v>0.21444999999999997</v>
      </c>
      <c r="G40" s="7">
        <f t="shared" si="4"/>
        <v>0.54075000000000006</v>
      </c>
      <c r="H40" s="7">
        <f t="shared" si="5"/>
        <v>3.0949</v>
      </c>
    </row>
    <row r="41" spans="2:17" x14ac:dyDescent="0.25">
      <c r="B41" s="2" t="s">
        <v>21</v>
      </c>
      <c r="C41" s="7">
        <f t="shared" si="0"/>
        <v>3.0625000000000001E-3</v>
      </c>
      <c r="D41" s="7">
        <f t="shared" si="1"/>
        <v>1.7774999999999999E-2</v>
      </c>
      <c r="E41" s="7">
        <f t="shared" si="2"/>
        <v>3.9275000000000004E-2</v>
      </c>
      <c r="F41" s="7">
        <f t="shared" si="3"/>
        <v>0.29073749999999998</v>
      </c>
      <c r="G41" s="7">
        <f t="shared" si="4"/>
        <v>0.69238750000000004</v>
      </c>
      <c r="H41" s="7">
        <f t="shared" si="5"/>
        <v>3.8935500000000003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N4:N5"/>
    <mergeCell ref="O4:X4"/>
    <mergeCell ref="A1:B1"/>
    <mergeCell ref="B34:B35"/>
    <mergeCell ref="B4:B5"/>
    <mergeCell ref="C4:L4"/>
    <mergeCell ref="C34:H34"/>
    <mergeCell ref="N24:N25"/>
    <mergeCell ref="O24:X24"/>
    <mergeCell ref="B14:B15"/>
    <mergeCell ref="C14:L14"/>
    <mergeCell ref="N14:N15"/>
    <mergeCell ref="O14:X14"/>
    <mergeCell ref="B24:B25"/>
    <mergeCell ref="C24:L2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44"/>
  <sheetViews>
    <sheetView topLeftCell="B1" zoomScale="50" zoomScaleNormal="70" workbookViewId="0">
      <selection sqref="A1:X41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6" t="s">
        <v>14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22" t="s">
        <v>1</v>
      </c>
      <c r="C4" s="19" t="s">
        <v>15</v>
      </c>
      <c r="D4" s="20"/>
      <c r="E4" s="20"/>
      <c r="F4" s="20"/>
      <c r="G4" s="20"/>
      <c r="H4" s="20"/>
      <c r="I4" s="20"/>
      <c r="J4" s="20"/>
      <c r="K4" s="20"/>
      <c r="L4" s="21"/>
      <c r="N4" s="22" t="s">
        <v>1</v>
      </c>
      <c r="O4" s="19" t="s">
        <v>15</v>
      </c>
      <c r="P4" s="20"/>
      <c r="Q4" s="20"/>
      <c r="R4" s="20"/>
      <c r="S4" s="20"/>
      <c r="T4" s="20"/>
      <c r="U4" s="20"/>
      <c r="V4" s="20"/>
      <c r="W4" s="20"/>
      <c r="X4" s="21"/>
    </row>
    <row r="5" spans="1:24" x14ac:dyDescent="0.25">
      <c r="B5" s="23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23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2.0000000000000001E-4</v>
      </c>
      <c r="D6" s="7">
        <v>2.0000000000000001E-4</v>
      </c>
      <c r="E6" s="7">
        <v>2.0000000000000001E-4</v>
      </c>
      <c r="F6" s="7">
        <v>2.0000000000000001E-4</v>
      </c>
      <c r="G6" s="7">
        <v>2.0000000000000001E-4</v>
      </c>
      <c r="H6" s="7">
        <v>1E-4</v>
      </c>
      <c r="I6" s="7">
        <v>1E-4</v>
      </c>
      <c r="J6" s="7">
        <v>2.0000000000000001E-4</v>
      </c>
      <c r="K6" s="7">
        <v>1E-4</v>
      </c>
      <c r="L6" s="7">
        <v>2.0000000000000001E-4</v>
      </c>
      <c r="N6" s="2" t="s">
        <v>16</v>
      </c>
      <c r="O6" s="7">
        <v>8.0000000000000004E-4</v>
      </c>
      <c r="P6" s="7">
        <v>8.0000000000000004E-4</v>
      </c>
      <c r="Q6" s="7">
        <v>8.0000000000000004E-4</v>
      </c>
      <c r="R6" s="7">
        <v>8.0000000000000004E-4</v>
      </c>
      <c r="S6" s="7">
        <v>8.0000000000000004E-4</v>
      </c>
      <c r="T6" s="7">
        <v>8.0000000000000004E-4</v>
      </c>
      <c r="U6" s="7">
        <v>8.0000000000000004E-4</v>
      </c>
      <c r="V6" s="7">
        <v>8.9999999999999998E-4</v>
      </c>
      <c r="W6" s="7">
        <v>8.0000000000000004E-4</v>
      </c>
      <c r="X6" s="7">
        <v>8.0000000000000004E-4</v>
      </c>
    </row>
    <row r="7" spans="1:24" x14ac:dyDescent="0.25">
      <c r="B7" s="2" t="s">
        <v>17</v>
      </c>
      <c r="C7" s="7">
        <v>5.3E-3</v>
      </c>
      <c r="D7" s="7">
        <v>4.8999999999999998E-3</v>
      </c>
      <c r="E7" s="7">
        <v>4.4000000000000003E-3</v>
      </c>
      <c r="F7" s="7">
        <v>4.4000000000000003E-3</v>
      </c>
      <c r="G7" s="7">
        <v>4.3E-3</v>
      </c>
      <c r="H7" s="7">
        <v>4.3E-3</v>
      </c>
      <c r="I7" s="7">
        <v>4.3E-3</v>
      </c>
      <c r="J7" s="7">
        <v>4.3E-3</v>
      </c>
      <c r="K7" s="7">
        <v>4.3E-3</v>
      </c>
      <c r="L7" s="7">
        <v>4.4000000000000003E-3</v>
      </c>
      <c r="N7" s="2" t="s">
        <v>17</v>
      </c>
      <c r="O7" s="7">
        <v>0.11260000000000001</v>
      </c>
      <c r="P7" s="7">
        <v>0.1056</v>
      </c>
      <c r="Q7" s="7">
        <v>0.1057</v>
      </c>
      <c r="R7" s="7">
        <v>0.1056</v>
      </c>
      <c r="S7" s="7">
        <v>0.1057</v>
      </c>
      <c r="T7" s="7">
        <v>0.1057</v>
      </c>
      <c r="U7" s="7">
        <v>0.1057</v>
      </c>
      <c r="V7" s="7">
        <v>0.1056</v>
      </c>
      <c r="W7" s="7">
        <v>0.1057</v>
      </c>
      <c r="X7" s="7">
        <v>0.1057</v>
      </c>
    </row>
    <row r="8" spans="1:24" x14ac:dyDescent="0.25">
      <c r="B8" s="2" t="s">
        <v>18</v>
      </c>
      <c r="C8" s="7">
        <v>5.4000000000000003E-3</v>
      </c>
      <c r="D8" s="7">
        <v>5.1999999999999998E-3</v>
      </c>
      <c r="E8" s="7">
        <v>5.1000000000000004E-3</v>
      </c>
      <c r="F8" s="7">
        <v>5.1000000000000004E-3</v>
      </c>
      <c r="G8" s="7">
        <v>5.1000000000000004E-3</v>
      </c>
      <c r="H8" s="7">
        <v>5.1000000000000004E-3</v>
      </c>
      <c r="I8" s="7">
        <v>5.1000000000000004E-3</v>
      </c>
      <c r="J8" s="7">
        <v>5.1000000000000004E-3</v>
      </c>
      <c r="K8" s="7">
        <v>5.1000000000000004E-3</v>
      </c>
      <c r="L8" s="7">
        <v>5.0000000000000001E-3</v>
      </c>
      <c r="N8" s="2" t="s">
        <v>18</v>
      </c>
      <c r="O8" s="7">
        <v>0.1242</v>
      </c>
      <c r="P8" s="7">
        <v>0.1242</v>
      </c>
      <c r="Q8" s="7">
        <v>0.1242</v>
      </c>
      <c r="R8" s="7">
        <v>0.1242</v>
      </c>
      <c r="S8" s="7">
        <v>0.1283</v>
      </c>
      <c r="T8" s="7">
        <v>0.1249</v>
      </c>
      <c r="U8" s="7">
        <v>0.12479999999999999</v>
      </c>
      <c r="V8" s="7">
        <v>0.12770000000000001</v>
      </c>
      <c r="W8" s="7">
        <v>0.1249</v>
      </c>
      <c r="X8" s="7">
        <v>0.12479999999999999</v>
      </c>
    </row>
    <row r="9" spans="1:24" x14ac:dyDescent="0.25">
      <c r="B9" s="2" t="s">
        <v>19</v>
      </c>
      <c r="C9" s="7">
        <v>3.3999999999999998E-3</v>
      </c>
      <c r="D9" s="7">
        <v>2.7000000000000001E-3</v>
      </c>
      <c r="E9" s="7">
        <v>2.7000000000000001E-3</v>
      </c>
      <c r="F9" s="7">
        <v>2.7000000000000001E-3</v>
      </c>
      <c r="G9" s="7">
        <v>2.5999999999999999E-3</v>
      </c>
      <c r="H9" s="7">
        <v>2.7000000000000001E-3</v>
      </c>
      <c r="I9" s="7">
        <v>2.7000000000000001E-3</v>
      </c>
      <c r="J9" s="7">
        <v>2.5999999999999999E-3</v>
      </c>
      <c r="K9" s="7">
        <v>2.5999999999999999E-3</v>
      </c>
      <c r="L9" s="7">
        <v>2.7000000000000001E-3</v>
      </c>
      <c r="N9" s="2" t="s">
        <v>19</v>
      </c>
      <c r="O9" s="7">
        <v>1.6299999999999999E-2</v>
      </c>
      <c r="P9" s="7">
        <v>1.61E-2</v>
      </c>
      <c r="Q9" s="7">
        <v>1.6E-2</v>
      </c>
      <c r="R9" s="7">
        <v>1.6E-2</v>
      </c>
      <c r="S9" s="7">
        <v>1.6E-2</v>
      </c>
      <c r="T9" s="7">
        <v>1.61E-2</v>
      </c>
      <c r="U9" s="7">
        <v>1.5900000000000001E-2</v>
      </c>
      <c r="V9" s="7">
        <v>1.61E-2</v>
      </c>
      <c r="W9" s="7">
        <v>1.5900000000000001E-2</v>
      </c>
      <c r="X9" s="7">
        <v>1.61E-2</v>
      </c>
    </row>
    <row r="10" spans="1:24" x14ac:dyDescent="0.25">
      <c r="B10" s="2" t="s">
        <v>20</v>
      </c>
      <c r="C10" s="7">
        <v>4.7999999999999996E-3</v>
      </c>
      <c r="D10" s="7">
        <v>4.7000000000000002E-3</v>
      </c>
      <c r="E10" s="7">
        <v>4.4999999999999997E-3</v>
      </c>
      <c r="F10" s="7">
        <v>4.4000000000000003E-3</v>
      </c>
      <c r="G10" s="7">
        <v>4.3E-3</v>
      </c>
      <c r="H10" s="7">
        <v>4.3E-3</v>
      </c>
      <c r="I10" s="7">
        <v>4.3E-3</v>
      </c>
      <c r="J10" s="7">
        <v>4.4000000000000003E-3</v>
      </c>
      <c r="K10" s="7">
        <v>4.3E-3</v>
      </c>
      <c r="L10" s="7">
        <v>4.3E-3</v>
      </c>
      <c r="N10" s="2" t="s">
        <v>20</v>
      </c>
      <c r="O10" s="7">
        <v>9.9199999999999997E-2</v>
      </c>
      <c r="P10" s="7">
        <v>9.9099999999999994E-2</v>
      </c>
      <c r="Q10" s="7">
        <v>9.9299999999999999E-2</v>
      </c>
      <c r="R10" s="7">
        <v>9.9400000000000002E-2</v>
      </c>
      <c r="S10" s="7">
        <v>9.9199999999999997E-2</v>
      </c>
      <c r="T10" s="7">
        <v>0.1113</v>
      </c>
      <c r="U10" s="7">
        <v>8.3599999999999994E-2</v>
      </c>
      <c r="V10" s="7">
        <v>8.3400000000000002E-2</v>
      </c>
      <c r="W10" s="7">
        <v>8.3199999999999996E-2</v>
      </c>
      <c r="X10" s="7">
        <v>8.3599999999999994E-2</v>
      </c>
    </row>
    <row r="11" spans="1:24" x14ac:dyDescent="0.25">
      <c r="B11" s="2" t="s">
        <v>21</v>
      </c>
      <c r="C11" s="8">
        <v>3.0999999999999999E-3</v>
      </c>
      <c r="D11" s="7">
        <v>3.0000000000000001E-3</v>
      </c>
      <c r="E11" s="7">
        <v>2.8999999999999998E-3</v>
      </c>
      <c r="F11" s="7">
        <v>2.3999999999999998E-3</v>
      </c>
      <c r="G11" s="7">
        <v>2.3E-3</v>
      </c>
      <c r="H11" s="7">
        <v>2.5000000000000001E-3</v>
      </c>
      <c r="I11" s="7">
        <v>2.3999999999999998E-3</v>
      </c>
      <c r="J11" s="7">
        <v>2.3999999999999998E-3</v>
      </c>
      <c r="K11" s="7">
        <v>2.3999999999999998E-3</v>
      </c>
      <c r="L11" s="7">
        <v>2.3E-3</v>
      </c>
      <c r="N11" s="2" t="s">
        <v>21</v>
      </c>
      <c r="O11" s="8">
        <v>1.34E-2</v>
      </c>
      <c r="P11" s="7">
        <v>1.34E-2</v>
      </c>
      <c r="Q11" s="7">
        <v>1.24E-2</v>
      </c>
      <c r="R11" s="7">
        <v>1.2200000000000001E-2</v>
      </c>
      <c r="S11" s="7">
        <v>1.2200000000000001E-2</v>
      </c>
      <c r="T11" s="7">
        <v>1.23E-2</v>
      </c>
      <c r="U11" s="7">
        <v>1.23E-2</v>
      </c>
      <c r="V11" s="7">
        <v>1.21E-2</v>
      </c>
      <c r="W11" s="7">
        <v>1.23E-2</v>
      </c>
      <c r="X11" s="7">
        <v>1.2200000000000001E-2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22" t="s">
        <v>1</v>
      </c>
      <c r="C14" s="19" t="s">
        <v>15</v>
      </c>
      <c r="D14" s="20"/>
      <c r="E14" s="20"/>
      <c r="F14" s="20"/>
      <c r="G14" s="20"/>
      <c r="H14" s="20"/>
      <c r="I14" s="20"/>
      <c r="J14" s="20"/>
      <c r="K14" s="20"/>
      <c r="L14" s="21"/>
      <c r="N14" s="22" t="s">
        <v>1</v>
      </c>
      <c r="O14" s="19" t="s">
        <v>15</v>
      </c>
      <c r="P14" s="20"/>
      <c r="Q14" s="20"/>
      <c r="R14" s="20"/>
      <c r="S14" s="20"/>
      <c r="T14" s="20"/>
      <c r="U14" s="20"/>
      <c r="V14" s="20"/>
      <c r="W14" s="20"/>
      <c r="X14" s="21"/>
    </row>
    <row r="15" spans="1:24" x14ac:dyDescent="0.25">
      <c r="B15" s="23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23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1.6999999999999999E-3</v>
      </c>
      <c r="D16" s="7">
        <v>1.6000000000000001E-3</v>
      </c>
      <c r="E16" s="7">
        <v>1.6999999999999999E-3</v>
      </c>
      <c r="F16" s="7">
        <v>1.6000000000000001E-3</v>
      </c>
      <c r="G16" s="7">
        <v>1.6000000000000001E-3</v>
      </c>
      <c r="H16" s="7">
        <v>1.6000000000000001E-3</v>
      </c>
      <c r="I16" s="7">
        <v>1.6000000000000001E-3</v>
      </c>
      <c r="J16" s="7">
        <v>1.6000000000000001E-3</v>
      </c>
      <c r="K16" s="7">
        <v>1.6000000000000001E-3</v>
      </c>
      <c r="L16" s="7">
        <v>1.6000000000000001E-3</v>
      </c>
      <c r="N16" s="2" t="s">
        <v>16</v>
      </c>
      <c r="O16" s="7">
        <v>7.4000000000000003E-3</v>
      </c>
      <c r="P16" s="7">
        <v>7.4000000000000003E-3</v>
      </c>
      <c r="Q16" s="7">
        <v>7.3000000000000001E-3</v>
      </c>
      <c r="R16" s="7">
        <v>7.4000000000000003E-3</v>
      </c>
      <c r="S16" s="7">
        <v>7.3000000000000001E-3</v>
      </c>
      <c r="T16" s="7">
        <v>7.4000000000000003E-3</v>
      </c>
      <c r="U16" s="7">
        <v>7.4000000000000003E-3</v>
      </c>
      <c r="V16" s="7">
        <v>7.4000000000000003E-3</v>
      </c>
      <c r="W16" s="7">
        <v>7.4000000000000003E-3</v>
      </c>
      <c r="X16" s="7">
        <v>7.4000000000000003E-3</v>
      </c>
    </row>
    <row r="17" spans="2:24" x14ac:dyDescent="0.25">
      <c r="B17" s="2" t="s">
        <v>17</v>
      </c>
      <c r="C17" s="7">
        <v>0.43509999999999999</v>
      </c>
      <c r="D17" s="7">
        <v>0.42149999999999999</v>
      </c>
      <c r="E17" s="7">
        <v>0.42149999999999999</v>
      </c>
      <c r="F17" s="7">
        <v>0.4214</v>
      </c>
      <c r="G17" s="7">
        <v>0.42430000000000001</v>
      </c>
      <c r="H17" s="7">
        <v>0.42220000000000002</v>
      </c>
      <c r="I17" s="7">
        <v>0.42730000000000001</v>
      </c>
      <c r="J17" s="7">
        <v>0.42449999999999999</v>
      </c>
      <c r="K17" s="7">
        <v>0.42749999999999999</v>
      </c>
      <c r="L17" s="7">
        <v>0.42880000000000001</v>
      </c>
      <c r="N17" s="2" t="s">
        <v>17</v>
      </c>
      <c r="O17" s="7">
        <v>10.6355</v>
      </c>
      <c r="P17" s="7">
        <v>12.818099999999999</v>
      </c>
      <c r="Q17" s="7">
        <v>10.764799999999999</v>
      </c>
      <c r="R17" s="7">
        <v>10.975899999999999</v>
      </c>
      <c r="S17" s="7">
        <v>10.452</v>
      </c>
      <c r="T17" s="7">
        <v>10.635199999999999</v>
      </c>
      <c r="U17" s="7">
        <v>10.6526</v>
      </c>
      <c r="V17" s="7">
        <v>10.620699999999999</v>
      </c>
      <c r="W17" s="7">
        <v>10.8705</v>
      </c>
      <c r="X17" s="7">
        <v>10.756399999999999</v>
      </c>
    </row>
    <row r="18" spans="2:24" x14ac:dyDescent="0.25">
      <c r="B18" s="2" t="s">
        <v>18</v>
      </c>
      <c r="C18" s="7">
        <v>0.50090000000000001</v>
      </c>
      <c r="D18" s="7">
        <v>0.50090000000000001</v>
      </c>
      <c r="E18" s="7">
        <v>0.501</v>
      </c>
      <c r="F18" s="7">
        <v>0.50380000000000003</v>
      </c>
      <c r="G18" s="7">
        <v>0.50170000000000003</v>
      </c>
      <c r="H18" s="7">
        <v>0.49590000000000001</v>
      </c>
      <c r="I18" s="7">
        <v>0.49590000000000001</v>
      </c>
      <c r="J18" s="7">
        <v>0.49869999999999998</v>
      </c>
      <c r="K18" s="7">
        <v>0.49580000000000002</v>
      </c>
      <c r="L18" s="7">
        <v>0.49569999999999997</v>
      </c>
      <c r="N18" s="2" t="s">
        <v>18</v>
      </c>
      <c r="O18" s="7">
        <v>12.281499999999999</v>
      </c>
      <c r="P18" s="7">
        <v>12.3811</v>
      </c>
      <c r="Q18" s="7">
        <v>12.477499999999999</v>
      </c>
      <c r="R18" s="7">
        <v>12.4749</v>
      </c>
      <c r="S18" s="7">
        <v>12.6495</v>
      </c>
      <c r="T18" s="7">
        <v>12.4552</v>
      </c>
      <c r="U18" s="7">
        <v>12.4793</v>
      </c>
      <c r="V18" s="7">
        <v>12.6523</v>
      </c>
      <c r="W18" s="7">
        <v>12.405900000000001</v>
      </c>
      <c r="X18" s="7">
        <v>12.3338</v>
      </c>
    </row>
    <row r="19" spans="2:24" x14ac:dyDescent="0.25">
      <c r="B19" s="2" t="s">
        <v>19</v>
      </c>
      <c r="C19" s="7">
        <v>3.4700000000000002E-2</v>
      </c>
      <c r="D19" s="7">
        <v>3.4500000000000003E-2</v>
      </c>
      <c r="E19" s="7">
        <v>3.4500000000000003E-2</v>
      </c>
      <c r="F19" s="7">
        <v>3.44E-2</v>
      </c>
      <c r="G19" s="7">
        <v>3.4500000000000003E-2</v>
      </c>
      <c r="H19" s="7">
        <v>3.4700000000000002E-2</v>
      </c>
      <c r="I19" s="7">
        <v>4.7699999999999999E-2</v>
      </c>
      <c r="J19" s="7">
        <v>4.8500000000000001E-2</v>
      </c>
      <c r="K19" s="7">
        <v>4.0300000000000002E-2</v>
      </c>
      <c r="L19" s="7">
        <v>3.4500000000000003E-2</v>
      </c>
      <c r="N19" s="2" t="s">
        <v>19</v>
      </c>
      <c r="O19" s="7">
        <v>0.20760000000000001</v>
      </c>
      <c r="P19" s="7">
        <v>0.20949999999999999</v>
      </c>
      <c r="Q19" s="7">
        <v>0.2041</v>
      </c>
      <c r="R19" s="7">
        <v>0.20399999999999999</v>
      </c>
      <c r="S19" s="7">
        <v>0.20430000000000001</v>
      </c>
      <c r="T19" s="7">
        <v>0.2041</v>
      </c>
      <c r="U19" s="7">
        <v>0.2041</v>
      </c>
      <c r="V19" s="7">
        <v>0.2044</v>
      </c>
      <c r="W19" s="7">
        <v>0.20380000000000001</v>
      </c>
      <c r="X19" s="7">
        <v>0.20399999999999999</v>
      </c>
    </row>
    <row r="20" spans="2:24" x14ac:dyDescent="0.25">
      <c r="B20" s="2" t="s">
        <v>20</v>
      </c>
      <c r="C20" s="7">
        <v>0.38779999999999998</v>
      </c>
      <c r="D20" s="7">
        <v>0.3911</v>
      </c>
      <c r="E20" s="7">
        <v>0.38790000000000002</v>
      </c>
      <c r="F20" s="7">
        <v>0.3876</v>
      </c>
      <c r="G20" s="7">
        <v>0.39029999999999998</v>
      </c>
      <c r="H20" s="7">
        <v>0.38679999999999998</v>
      </c>
      <c r="I20" s="7">
        <v>0.3871</v>
      </c>
      <c r="J20" s="7">
        <v>0.38719999999999999</v>
      </c>
      <c r="K20" s="7">
        <v>0.38700000000000001</v>
      </c>
      <c r="L20" s="7">
        <v>0.38969999999999999</v>
      </c>
      <c r="N20" s="2" t="s">
        <v>20</v>
      </c>
      <c r="O20" s="7">
        <v>9.5584000000000007</v>
      </c>
      <c r="P20" s="7">
        <v>9.5318000000000005</v>
      </c>
      <c r="Q20" s="7">
        <v>9.4718999999999998</v>
      </c>
      <c r="R20" s="7">
        <v>9.5315999999999992</v>
      </c>
      <c r="S20" s="7">
        <v>9.5273000000000003</v>
      </c>
      <c r="T20" s="7">
        <v>9.5197000000000003</v>
      </c>
      <c r="U20" s="7">
        <v>9.5466999999999995</v>
      </c>
      <c r="V20" s="7">
        <v>9.5459999999999994</v>
      </c>
      <c r="W20" s="7">
        <v>9.5281000000000002</v>
      </c>
      <c r="X20" s="7">
        <v>9.766</v>
      </c>
    </row>
    <row r="21" spans="2:24" x14ac:dyDescent="0.25">
      <c r="B21" s="2" t="s">
        <v>21</v>
      </c>
      <c r="C21" s="8">
        <v>3.15E-2</v>
      </c>
      <c r="D21" s="7">
        <v>2.9700000000000001E-2</v>
      </c>
      <c r="E21" s="7">
        <v>3.0499999999999999E-2</v>
      </c>
      <c r="F21" s="7">
        <v>2.9499999999999998E-2</v>
      </c>
      <c r="G21" s="7">
        <v>2.86E-2</v>
      </c>
      <c r="H21" s="7">
        <v>2.8500000000000001E-2</v>
      </c>
      <c r="I21" s="7">
        <v>2.8500000000000001E-2</v>
      </c>
      <c r="J21" s="7">
        <v>2.8299999999999999E-2</v>
      </c>
      <c r="K21" s="7">
        <v>2.8400000000000002E-2</v>
      </c>
      <c r="L21" s="7">
        <v>2.8500000000000001E-2</v>
      </c>
      <c r="N21" s="2" t="s">
        <v>21</v>
      </c>
      <c r="O21" s="8">
        <v>0.1681</v>
      </c>
      <c r="P21" s="7">
        <v>0.15740000000000001</v>
      </c>
      <c r="Q21" s="7">
        <v>0.1573</v>
      </c>
      <c r="R21" s="7">
        <v>0.15759999999999999</v>
      </c>
      <c r="S21" s="7">
        <v>0.1585</v>
      </c>
      <c r="T21" s="7">
        <v>0.15859999999999999</v>
      </c>
      <c r="U21" s="7">
        <v>0.1575</v>
      </c>
      <c r="V21" s="7">
        <v>0.15559999999999999</v>
      </c>
      <c r="W21" s="7">
        <v>0.156</v>
      </c>
      <c r="X21" s="7">
        <v>0.15579999999999999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22" t="s">
        <v>1</v>
      </c>
      <c r="C24" s="19" t="s">
        <v>15</v>
      </c>
      <c r="D24" s="20"/>
      <c r="E24" s="20"/>
      <c r="F24" s="20"/>
      <c r="G24" s="20"/>
      <c r="H24" s="20"/>
      <c r="I24" s="20"/>
      <c r="J24" s="20"/>
      <c r="K24" s="20"/>
      <c r="L24" s="21"/>
      <c r="N24" s="22" t="s">
        <v>1</v>
      </c>
      <c r="O24" s="19" t="s">
        <v>15</v>
      </c>
      <c r="P24" s="20"/>
      <c r="Q24" s="20"/>
      <c r="R24" s="20"/>
      <c r="S24" s="20"/>
      <c r="T24" s="20"/>
      <c r="U24" s="20"/>
      <c r="V24" s="20"/>
      <c r="W24" s="20"/>
      <c r="X24" s="21"/>
    </row>
    <row r="25" spans="2:24" x14ac:dyDescent="0.25">
      <c r="B25" s="23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23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1.4500000000000001E-2</v>
      </c>
      <c r="D26" s="7">
        <v>1.4500000000000001E-2</v>
      </c>
      <c r="E26" s="7">
        <v>1.4500000000000001E-2</v>
      </c>
      <c r="F26" s="7">
        <v>1.44E-2</v>
      </c>
      <c r="G26" s="7">
        <v>1.44E-2</v>
      </c>
      <c r="H26" s="7">
        <v>1.4500000000000001E-2</v>
      </c>
      <c r="I26" s="7">
        <v>1.44E-2</v>
      </c>
      <c r="J26" s="7">
        <v>1.44E-2</v>
      </c>
      <c r="K26" s="7">
        <v>1.44E-2</v>
      </c>
      <c r="L26" s="7">
        <v>1.4500000000000001E-2</v>
      </c>
      <c r="N26" s="2" t="s">
        <v>16</v>
      </c>
      <c r="O26" s="7">
        <v>7.5300000000000006E-2</v>
      </c>
      <c r="P26" s="7">
        <v>8.2000000000000003E-2</v>
      </c>
      <c r="Q26" s="7">
        <v>8.2000000000000003E-2</v>
      </c>
      <c r="R26" s="7">
        <v>8.2000000000000003E-2</v>
      </c>
      <c r="S26" s="7">
        <v>8.1900000000000001E-2</v>
      </c>
      <c r="T26" s="7">
        <v>8.2000000000000003E-2</v>
      </c>
      <c r="U26" s="7">
        <v>8.1900000000000001E-2</v>
      </c>
      <c r="V26" s="7">
        <v>8.7300000000000003E-2</v>
      </c>
      <c r="W26" s="7">
        <v>8.3599999999999994E-2</v>
      </c>
      <c r="X26" s="7">
        <v>8.2000000000000003E-2</v>
      </c>
    </row>
    <row r="27" spans="2:24" x14ac:dyDescent="0.25">
      <c r="B27" s="2" t="s">
        <v>17</v>
      </c>
      <c r="C27" s="7">
        <v>42.495199999999997</v>
      </c>
      <c r="D27" s="7">
        <v>42.446399999999997</v>
      </c>
      <c r="E27" s="7">
        <v>43.199399999999997</v>
      </c>
      <c r="F27" s="7">
        <v>43.211100000000002</v>
      </c>
      <c r="G27" s="7">
        <v>42.449199999999998</v>
      </c>
      <c r="H27" s="7">
        <v>42.714500000000001</v>
      </c>
      <c r="I27" s="7">
        <v>42.832799999999999</v>
      </c>
      <c r="J27" s="7">
        <v>43.162599999999998</v>
      </c>
      <c r="K27" s="7">
        <v>42.555399999999999</v>
      </c>
      <c r="L27" s="7">
        <v>42.995100000000001</v>
      </c>
      <c r="N27" s="2" t="s">
        <v>17</v>
      </c>
      <c r="O27" s="7">
        <v>1067.8127999999999</v>
      </c>
      <c r="P27" s="7">
        <v>1068.742</v>
      </c>
      <c r="Q27" s="7">
        <v>1068.3106</v>
      </c>
      <c r="R27" s="7">
        <v>1073.9188999999999</v>
      </c>
      <c r="S27" s="7">
        <v>1069.395</v>
      </c>
      <c r="T27" s="7">
        <v>1070.9504999999999</v>
      </c>
      <c r="U27" s="7">
        <v>1069.8886</v>
      </c>
      <c r="V27" s="7">
        <v>1077.56</v>
      </c>
      <c r="W27" s="7">
        <v>1072.7401</v>
      </c>
      <c r="X27" s="7">
        <v>1069.9748999999999</v>
      </c>
    </row>
    <row r="28" spans="2:24" x14ac:dyDescent="0.25">
      <c r="B28" s="2" t="s">
        <v>18</v>
      </c>
      <c r="C28" s="7">
        <v>50.0229</v>
      </c>
      <c r="D28" s="7">
        <v>49.666800000000002</v>
      </c>
      <c r="E28" s="7">
        <v>49.838700000000003</v>
      </c>
      <c r="F28" s="7">
        <v>49.8506</v>
      </c>
      <c r="G28" s="7">
        <v>50.689700000000002</v>
      </c>
      <c r="H28" s="7">
        <v>50.465499999999999</v>
      </c>
      <c r="I28" s="7">
        <v>51.234900000000003</v>
      </c>
      <c r="J28" s="7">
        <v>49.853900000000003</v>
      </c>
      <c r="K28" s="7">
        <v>49.991900000000001</v>
      </c>
      <c r="L28" s="7">
        <v>49.697899999999997</v>
      </c>
      <c r="N28" s="2" t="s">
        <v>18</v>
      </c>
      <c r="O28" s="7">
        <v>1249.0036</v>
      </c>
      <c r="P28" s="7">
        <v>1257.0833</v>
      </c>
      <c r="Q28" s="7">
        <v>1251.0545</v>
      </c>
      <c r="R28" s="7">
        <v>1246.2598</v>
      </c>
      <c r="S28" s="7">
        <v>1252.7464</v>
      </c>
      <c r="T28" s="7">
        <v>1246.9866</v>
      </c>
      <c r="U28" s="7">
        <v>1246.7275999999999</v>
      </c>
      <c r="V28" s="7">
        <v>1248.1189999999999</v>
      </c>
      <c r="W28" s="7">
        <v>1247.336</v>
      </c>
      <c r="X28" s="7">
        <v>1246.6805999999999</v>
      </c>
    </row>
    <row r="29" spans="2:24" x14ac:dyDescent="0.25">
      <c r="B29" s="2" t="s">
        <v>19</v>
      </c>
      <c r="C29" s="7">
        <v>0.4415</v>
      </c>
      <c r="D29" s="7">
        <v>0.44119999999999998</v>
      </c>
      <c r="E29" s="7">
        <v>0.44030000000000002</v>
      </c>
      <c r="F29" s="7">
        <v>0.43559999999999999</v>
      </c>
      <c r="G29" s="7">
        <v>0.43880000000000002</v>
      </c>
      <c r="H29" s="7">
        <v>0.43369999999999997</v>
      </c>
      <c r="I29" s="7">
        <v>0.43680000000000002</v>
      </c>
      <c r="J29" s="7">
        <v>0.43280000000000002</v>
      </c>
      <c r="K29" s="7">
        <v>0.43369999999999997</v>
      </c>
      <c r="L29" s="7">
        <v>0.43359999999999999</v>
      </c>
      <c r="N29" s="2" t="s">
        <v>19</v>
      </c>
      <c r="O29" s="7">
        <v>2.5145</v>
      </c>
      <c r="P29" s="7">
        <v>2.4899</v>
      </c>
      <c r="Q29" s="7">
        <v>2.4817999999999998</v>
      </c>
      <c r="R29" s="7">
        <v>2.5047999999999999</v>
      </c>
      <c r="S29" s="7">
        <v>2.4796999999999998</v>
      </c>
      <c r="T29" s="7">
        <v>2.5041000000000002</v>
      </c>
      <c r="U29" s="7">
        <v>2.4923999999999999</v>
      </c>
      <c r="V29" s="7">
        <v>2.9016000000000002</v>
      </c>
      <c r="W29" s="7">
        <v>2.4239000000000002</v>
      </c>
      <c r="X29" s="7">
        <v>2.4293999999999998</v>
      </c>
    </row>
    <row r="30" spans="2:24" x14ac:dyDescent="0.25">
      <c r="B30" s="2" t="s">
        <v>20</v>
      </c>
      <c r="C30" s="7">
        <v>37.9071</v>
      </c>
      <c r="D30" s="7">
        <v>37.999299999999998</v>
      </c>
      <c r="E30" s="7">
        <v>37.873399999999997</v>
      </c>
      <c r="F30" s="7">
        <v>38.021299999999997</v>
      </c>
      <c r="G30" s="7">
        <v>38.034500000000001</v>
      </c>
      <c r="H30" s="7">
        <v>37.784300000000002</v>
      </c>
      <c r="I30" s="7">
        <v>38.297800000000002</v>
      </c>
      <c r="J30" s="7">
        <v>38.147300000000001</v>
      </c>
      <c r="K30" s="7">
        <v>38.0456</v>
      </c>
      <c r="L30" s="7">
        <v>38.0642</v>
      </c>
      <c r="N30" s="2" t="s">
        <v>20</v>
      </c>
      <c r="O30" s="7">
        <v>946.50329999999997</v>
      </c>
      <c r="P30" s="7">
        <v>945.11410000000001</v>
      </c>
      <c r="Q30" s="7">
        <v>948.30470000000003</v>
      </c>
      <c r="R30" s="7">
        <v>944.83420000000001</v>
      </c>
      <c r="S30" s="7">
        <v>944.54679999999996</v>
      </c>
      <c r="T30" s="7">
        <v>944.74469999999997</v>
      </c>
      <c r="U30" s="7">
        <v>947.21109999999999</v>
      </c>
      <c r="V30" s="7">
        <v>945.00059999999996</v>
      </c>
      <c r="W30" s="7">
        <v>946.19650000000001</v>
      </c>
      <c r="X30" s="7">
        <v>945.83730000000003</v>
      </c>
    </row>
    <row r="31" spans="2:24" x14ac:dyDescent="0.25">
      <c r="B31" s="2" t="s">
        <v>21</v>
      </c>
      <c r="C31" s="8">
        <v>0.38479999999999998</v>
      </c>
      <c r="D31" s="7">
        <v>0.36549999999999999</v>
      </c>
      <c r="E31" s="7">
        <v>0.36670000000000003</v>
      </c>
      <c r="F31" s="7">
        <v>0.37419999999999998</v>
      </c>
      <c r="G31" s="7">
        <v>0.36720000000000003</v>
      </c>
      <c r="H31" s="7">
        <v>0.38080000000000003</v>
      </c>
      <c r="I31" s="7">
        <v>0.36230000000000001</v>
      </c>
      <c r="J31" s="7">
        <v>0.3594</v>
      </c>
      <c r="K31" s="7">
        <v>0.37490000000000001</v>
      </c>
      <c r="L31" s="7">
        <v>0.37719999999999998</v>
      </c>
      <c r="N31" s="2" t="s">
        <v>21</v>
      </c>
      <c r="O31" s="8">
        <v>2.6922000000000001</v>
      </c>
      <c r="P31" s="7">
        <v>2.7564000000000002</v>
      </c>
      <c r="Q31" s="7">
        <v>2.7909999999999999</v>
      </c>
      <c r="R31" s="7">
        <v>2.7925</v>
      </c>
      <c r="S31" s="7">
        <v>2.7885</v>
      </c>
      <c r="T31" s="7">
        <v>2.8820999999999999</v>
      </c>
      <c r="U31" s="7">
        <v>2.8068</v>
      </c>
      <c r="V31" s="7">
        <v>2.7907999999999999</v>
      </c>
      <c r="W31" s="7">
        <v>2.8008999999999999</v>
      </c>
      <c r="X31" s="7">
        <v>2.7896999999999998</v>
      </c>
    </row>
    <row r="34" spans="2:17" x14ac:dyDescent="0.25">
      <c r="B34" s="22" t="s">
        <v>1</v>
      </c>
      <c r="C34" s="24" t="s">
        <v>22</v>
      </c>
      <c r="D34" s="25"/>
      <c r="E34" s="25"/>
      <c r="F34" s="25"/>
      <c r="G34" s="25"/>
      <c r="H34" s="26"/>
      <c r="K34" s="1" t="s">
        <v>25</v>
      </c>
      <c r="L34" s="1">
        <f>[1]Sorted!C35</f>
        <v>100</v>
      </c>
      <c r="M34" s="1">
        <f>[1]Sorted!D35</f>
        <v>500</v>
      </c>
      <c r="N34" s="1">
        <f>[1]Sorted!E35</f>
        <v>1000</v>
      </c>
      <c r="O34" s="1">
        <f>[1]Sorted!F35</f>
        <v>5000</v>
      </c>
      <c r="P34" s="1">
        <f>[1]Sorted!G35</f>
        <v>10000</v>
      </c>
      <c r="Q34" s="1">
        <f>[1]Sorted!H35</f>
        <v>50000</v>
      </c>
    </row>
    <row r="35" spans="2:17" x14ac:dyDescent="0.25">
      <c r="B35" s="23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f>[1]Sorted!C35^2</f>
        <v>10000</v>
      </c>
      <c r="M35" s="1">
        <f>[1]Sorted!D35^2</f>
        <v>250000</v>
      </c>
      <c r="N35" s="1">
        <f>[1]Sorted!E35^2</f>
        <v>1000000</v>
      </c>
      <c r="O35" s="1">
        <f>[1]Sorted!F35^2</f>
        <v>25000000</v>
      </c>
      <c r="P35" s="1">
        <f>[1]Sorted!G35^2</f>
        <v>100000000</v>
      </c>
      <c r="Q35" s="1">
        <f>[1]Sorted!H35^2</f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1.7500000000000003E-4</v>
      </c>
      <c r="D36" s="7">
        <f t="shared" ref="D36:D41" si="1">IF(COUNTBLANK(O6:X6)&gt;0,"undone",TRIMMEAN(O6:X6,2/COUNT(O6:X6)))</f>
        <v>8.0000000000000015E-4</v>
      </c>
      <c r="E36" s="7">
        <f t="shared" ref="E36:E41" si="2">IF(COUNTBLANK(C16:L16)&gt;0,"undone",TRIMMEAN(C16:L16,2/COUNT(C16:L16)))</f>
        <v>1.6125000000000002E-3</v>
      </c>
      <c r="F36" s="7">
        <f t="shared" ref="F36:F41" si="3">IF(COUNTBLANK(O16:X16)&gt;0,"undone",TRIMMEAN(O16:X16,2/COUNT(O16:X16)))</f>
        <v>7.3875000000000017E-3</v>
      </c>
      <c r="G36" s="7">
        <f t="shared" ref="G36:G41" si="4">IF(COUNTBLANK(C26:L26)&gt;0,"undone",TRIMMEAN(C26:L26,2/COUNT(C26:L26)))</f>
        <v>1.4450000000000003E-2</v>
      </c>
      <c r="H36" s="7">
        <f t="shared" ref="H36:H41" si="5">IF(COUNTBLANK(O26:X26)&gt;0,"undone",TRIMMEAN(O26:X26,2/COUNT(O26:X26)))</f>
        <v>8.2174999999999998E-2</v>
      </c>
      <c r="K36" s="1" t="s">
        <v>26</v>
      </c>
      <c r="L36" s="1">
        <f>[1]Sorted!C35*LOG([1]Sorted!C35)</f>
        <v>200</v>
      </c>
      <c r="M36" s="1">
        <f>[1]Sorted!D35*LOG([1]Sorted!D35)</f>
        <v>1349.4850021680095</v>
      </c>
      <c r="N36" s="1">
        <f>[1]Sorted!E35*LOG([1]Sorted!E35)</f>
        <v>3000</v>
      </c>
      <c r="O36" s="1">
        <f>[1]Sorted!F35*LOG([1]Sorted!F35)</f>
        <v>18494.850021680093</v>
      </c>
      <c r="P36" s="1">
        <f>[1]Sorted!G35*LOG([1]Sorted!G35)</f>
        <v>40000</v>
      </c>
      <c r="Q36" s="1">
        <f>[1]Sorted!H35*LOG([1]Sorted!H35)</f>
        <v>234948.50021680092</v>
      </c>
    </row>
    <row r="37" spans="2:17" x14ac:dyDescent="0.25">
      <c r="B37" s="2" t="s">
        <v>17</v>
      </c>
      <c r="C37" s="7">
        <f t="shared" si="0"/>
        <v>4.4124999999999998E-3</v>
      </c>
      <c r="D37" s="7">
        <f t="shared" si="1"/>
        <v>0.10567500000000001</v>
      </c>
      <c r="E37" s="7">
        <f t="shared" si="2"/>
        <v>0.42470000000000008</v>
      </c>
      <c r="F37" s="7">
        <f t="shared" si="3"/>
        <v>10.738949999999997</v>
      </c>
      <c r="G37" s="7">
        <f t="shared" si="4"/>
        <v>42.800525</v>
      </c>
      <c r="H37" s="7">
        <f t="shared" si="5"/>
        <v>1070.4900749999999</v>
      </c>
    </row>
    <row r="38" spans="2:17" x14ac:dyDescent="0.25">
      <c r="B38" s="2" t="s">
        <v>18</v>
      </c>
      <c r="C38" s="7">
        <f t="shared" si="0"/>
        <v>5.1124999999999999E-3</v>
      </c>
      <c r="D38" s="7">
        <f t="shared" si="1"/>
        <v>0.12496250000000002</v>
      </c>
      <c r="E38" s="7">
        <f t="shared" si="2"/>
        <v>0.49884999999999996</v>
      </c>
      <c r="F38" s="7">
        <f t="shared" si="3"/>
        <v>12.45715</v>
      </c>
      <c r="G38" s="7">
        <f t="shared" si="4"/>
        <v>50.051387499999997</v>
      </c>
      <c r="H38" s="7">
        <f t="shared" si="5"/>
        <v>1248.5817875</v>
      </c>
    </row>
    <row r="39" spans="2:17" x14ac:dyDescent="0.25">
      <c r="B39" s="2" t="s">
        <v>19</v>
      </c>
      <c r="C39" s="7">
        <f t="shared" si="0"/>
        <v>2.6750000000000003E-3</v>
      </c>
      <c r="D39" s="7">
        <f t="shared" si="1"/>
        <v>1.6037500000000003E-2</v>
      </c>
      <c r="E39" s="7">
        <f t="shared" si="2"/>
        <v>3.6924999999999999E-2</v>
      </c>
      <c r="F39" s="7">
        <f t="shared" si="3"/>
        <v>0.20457499999999998</v>
      </c>
      <c r="G39" s="7">
        <f t="shared" si="4"/>
        <v>0.43671249999999995</v>
      </c>
      <c r="H39" s="7">
        <f t="shared" si="5"/>
        <v>2.4870749999999999</v>
      </c>
    </row>
    <row r="40" spans="2:17" x14ac:dyDescent="0.25">
      <c r="B40" s="2" t="s">
        <v>20</v>
      </c>
      <c r="C40" s="7">
        <f t="shared" si="0"/>
        <v>4.3999999999999994E-3</v>
      </c>
      <c r="D40" s="7">
        <f t="shared" si="1"/>
        <v>9.3350000000000002E-2</v>
      </c>
      <c r="E40" s="7">
        <f t="shared" si="2"/>
        <v>0.38807499999999995</v>
      </c>
      <c r="F40" s="7">
        <f t="shared" si="3"/>
        <v>9.5362000000000009</v>
      </c>
      <c r="G40" s="7">
        <f t="shared" si="4"/>
        <v>38.011587500000005</v>
      </c>
      <c r="H40" s="7">
        <f t="shared" si="5"/>
        <v>945.68022500000006</v>
      </c>
    </row>
    <row r="41" spans="2:17" x14ac:dyDescent="0.25">
      <c r="B41" s="2" t="s">
        <v>21</v>
      </c>
      <c r="C41" s="7">
        <f t="shared" si="0"/>
        <v>2.5374999999999998E-3</v>
      </c>
      <c r="D41" s="7">
        <f t="shared" si="1"/>
        <v>1.2412500000000003E-2</v>
      </c>
      <c r="E41" s="7">
        <f t="shared" si="2"/>
        <v>2.9025000000000002E-2</v>
      </c>
      <c r="F41" s="7">
        <f t="shared" si="3"/>
        <v>0.15733749999999996</v>
      </c>
      <c r="G41" s="7">
        <f t="shared" si="4"/>
        <v>0.37109999999999999</v>
      </c>
      <c r="H41" s="7">
        <f t="shared" si="5"/>
        <v>2.7895749999999997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B34:B35"/>
    <mergeCell ref="C34:H34"/>
    <mergeCell ref="B24:B25"/>
    <mergeCell ref="C24:L24"/>
    <mergeCell ref="N24:N25"/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44"/>
  <sheetViews>
    <sheetView topLeftCell="A14" zoomScale="52" workbookViewId="0">
      <selection activeCell="I37" sqref="I37"/>
    </sheetView>
  </sheetViews>
  <sheetFormatPr defaultRowHeight="13.8" x14ac:dyDescent="0.25"/>
  <cols>
    <col min="1" max="1" width="8.796875" style="1"/>
    <col min="2" max="2" width="23.3984375" style="1" bestFit="1" customWidth="1"/>
    <col min="3" max="12" width="9.69921875" style="1" customWidth="1"/>
    <col min="13" max="13" width="8.796875" style="1"/>
    <col min="14" max="14" width="23.3984375" style="1" bestFit="1" customWidth="1"/>
    <col min="15" max="24" width="9.69921875" style="1" customWidth="1"/>
    <col min="25" max="16384" width="8.796875" style="1"/>
  </cols>
  <sheetData>
    <row r="1" spans="1:24" x14ac:dyDescent="0.25">
      <c r="A1" s="16" t="s">
        <v>13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1" t="s">
        <v>1</v>
      </c>
      <c r="C4" s="13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3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7.4999999999999997E-3</v>
      </c>
      <c r="D6" s="7">
        <v>7.1999999999999998E-3</v>
      </c>
      <c r="E6" s="7">
        <v>7.0000000000000001E-3</v>
      </c>
      <c r="F6" s="7">
        <v>6.8999999999999999E-3</v>
      </c>
      <c r="G6" s="7">
        <v>6.8999999999999999E-3</v>
      </c>
      <c r="H6" s="7">
        <v>7.0000000000000001E-3</v>
      </c>
      <c r="I6" s="7">
        <v>7.0000000000000001E-3</v>
      </c>
      <c r="J6" s="7">
        <v>6.8999999999999999E-3</v>
      </c>
      <c r="K6" s="7">
        <v>7.0000000000000001E-3</v>
      </c>
      <c r="L6" s="7">
        <v>6.8999999999999999E-3</v>
      </c>
      <c r="N6" s="2" t="s">
        <v>16</v>
      </c>
      <c r="O6" s="7">
        <v>0.17480000000000001</v>
      </c>
      <c r="P6" s="7">
        <v>0.17699999999999999</v>
      </c>
      <c r="Q6" s="7">
        <v>0.17130000000000001</v>
      </c>
      <c r="R6" s="7">
        <v>0.17130000000000001</v>
      </c>
      <c r="S6" s="7">
        <v>0.1714</v>
      </c>
      <c r="T6" s="7">
        <v>0.17130000000000001</v>
      </c>
      <c r="U6" s="7">
        <v>0.1714</v>
      </c>
      <c r="V6" s="7">
        <v>0.1769</v>
      </c>
      <c r="W6" s="7">
        <v>0.17150000000000001</v>
      </c>
      <c r="X6" s="7">
        <v>0.1716</v>
      </c>
    </row>
    <row r="7" spans="1:24" x14ac:dyDescent="0.25">
      <c r="B7" s="2" t="s">
        <v>17</v>
      </c>
      <c r="C7" s="7">
        <v>6.0000000000000001E-3</v>
      </c>
      <c r="D7" s="7">
        <v>5.3E-3</v>
      </c>
      <c r="E7" s="7">
        <v>5.7000000000000002E-3</v>
      </c>
      <c r="F7" s="7">
        <v>5.1999999999999998E-3</v>
      </c>
      <c r="G7" s="7">
        <v>5.0000000000000001E-3</v>
      </c>
      <c r="H7" s="7">
        <v>5.1000000000000004E-3</v>
      </c>
      <c r="I7" s="7">
        <v>5.0000000000000001E-3</v>
      </c>
      <c r="J7" s="7">
        <v>5.0000000000000001E-3</v>
      </c>
      <c r="K7" s="7">
        <v>4.8999999999999998E-3</v>
      </c>
      <c r="L7" s="7">
        <v>5.0000000000000001E-3</v>
      </c>
      <c r="N7" s="2" t="s">
        <v>17</v>
      </c>
      <c r="O7" s="7">
        <v>0.13009999999999999</v>
      </c>
      <c r="P7" s="7">
        <v>0.13009999999999999</v>
      </c>
      <c r="Q7" s="7">
        <v>0.1343</v>
      </c>
      <c r="R7" s="7">
        <v>0.12920000000000001</v>
      </c>
      <c r="S7" s="7">
        <v>0.17019999999999999</v>
      </c>
      <c r="T7" s="7">
        <v>0.13020000000000001</v>
      </c>
      <c r="U7" s="7">
        <v>0.1138</v>
      </c>
      <c r="V7" s="7">
        <v>0.1133</v>
      </c>
      <c r="W7" s="7">
        <v>0.1132</v>
      </c>
      <c r="X7" s="7">
        <v>0.1133</v>
      </c>
    </row>
    <row r="8" spans="1:24" x14ac:dyDescent="0.25">
      <c r="B8" s="2" t="s">
        <v>18</v>
      </c>
      <c r="C8" s="7">
        <v>1.0699999999999999E-2</v>
      </c>
      <c r="D8" s="7">
        <v>1.0800000000000001E-2</v>
      </c>
      <c r="E8" s="7">
        <v>1.0699999999999999E-2</v>
      </c>
      <c r="F8" s="7">
        <v>1.0800000000000001E-2</v>
      </c>
      <c r="G8" s="7">
        <v>1.09E-2</v>
      </c>
      <c r="H8" s="7">
        <v>1.0999999999999999E-2</v>
      </c>
      <c r="I8" s="7">
        <v>1.0999999999999999E-2</v>
      </c>
      <c r="J8" s="7">
        <v>1.09E-2</v>
      </c>
      <c r="K8" s="7">
        <v>1.0999999999999999E-2</v>
      </c>
      <c r="L8" s="7">
        <v>1.09E-2</v>
      </c>
      <c r="N8" s="2" t="s">
        <v>18</v>
      </c>
      <c r="O8" s="7">
        <v>0.25890000000000002</v>
      </c>
      <c r="P8" s="7">
        <v>0.2656</v>
      </c>
      <c r="Q8" s="7">
        <v>0.25829999999999997</v>
      </c>
      <c r="R8" s="7">
        <v>0.25369999999999998</v>
      </c>
      <c r="S8" s="7">
        <v>0.25729999999999997</v>
      </c>
      <c r="T8" s="7">
        <v>0.27939999999999998</v>
      </c>
      <c r="U8" s="7">
        <v>0.25519999999999998</v>
      </c>
      <c r="V8" s="7">
        <v>0.25509999999999999</v>
      </c>
      <c r="W8" s="7">
        <v>0.2646</v>
      </c>
      <c r="X8" s="7">
        <v>0.25950000000000001</v>
      </c>
    </row>
    <row r="9" spans="1:24" x14ac:dyDescent="0.25">
      <c r="B9" s="2" t="s">
        <v>19</v>
      </c>
      <c r="C9" s="7">
        <v>3.7000000000000002E-3</v>
      </c>
      <c r="D9" s="7">
        <v>2.8E-3</v>
      </c>
      <c r="E9" s="7">
        <v>2.8E-3</v>
      </c>
      <c r="F9" s="7">
        <v>2.7000000000000001E-3</v>
      </c>
      <c r="G9" s="7">
        <v>2.7000000000000001E-3</v>
      </c>
      <c r="H9" s="7">
        <v>2.7000000000000001E-3</v>
      </c>
      <c r="I9" s="7">
        <v>2.7000000000000001E-3</v>
      </c>
      <c r="J9" s="7">
        <v>2.7000000000000001E-3</v>
      </c>
      <c r="K9" s="7">
        <v>2.7000000000000001E-3</v>
      </c>
      <c r="L9" s="7">
        <v>2.7000000000000001E-3</v>
      </c>
      <c r="N9" s="2" t="s">
        <v>19</v>
      </c>
      <c r="O9" s="7">
        <v>1.7500000000000002E-2</v>
      </c>
      <c r="P9" s="7">
        <v>1.67E-2</v>
      </c>
      <c r="Q9" s="7">
        <v>1.6799999999999999E-2</v>
      </c>
      <c r="R9" s="7">
        <v>1.6799999999999999E-2</v>
      </c>
      <c r="S9" s="7">
        <v>1.6799999999999999E-2</v>
      </c>
      <c r="T9" s="7">
        <v>1.67E-2</v>
      </c>
      <c r="U9" s="7">
        <v>1.67E-2</v>
      </c>
      <c r="V9" s="7">
        <v>1.6799999999999999E-2</v>
      </c>
      <c r="W9" s="7">
        <v>6.6600000000000006E-2</v>
      </c>
      <c r="X9" s="7">
        <v>1.67E-2</v>
      </c>
    </row>
    <row r="10" spans="1:24" x14ac:dyDescent="0.25">
      <c r="B10" s="2" t="s">
        <v>20</v>
      </c>
      <c r="C10" s="7">
        <v>4.7999999999999996E-3</v>
      </c>
      <c r="D10" s="7">
        <v>4.4000000000000003E-3</v>
      </c>
      <c r="E10" s="7">
        <v>4.1000000000000003E-3</v>
      </c>
      <c r="F10" s="7">
        <v>4.0000000000000001E-3</v>
      </c>
      <c r="G10" s="7">
        <v>4.0000000000000001E-3</v>
      </c>
      <c r="H10" s="7">
        <v>4.0000000000000001E-3</v>
      </c>
      <c r="I10" s="7">
        <v>4.1000000000000003E-3</v>
      </c>
      <c r="J10" s="7">
        <v>4.0000000000000001E-3</v>
      </c>
      <c r="K10" s="7">
        <v>4.0000000000000001E-3</v>
      </c>
      <c r="L10" s="7">
        <v>4.0000000000000001E-3</v>
      </c>
      <c r="N10" s="2" t="s">
        <v>20</v>
      </c>
      <c r="O10" s="7">
        <v>0.1017</v>
      </c>
      <c r="P10" s="7">
        <v>0.1019</v>
      </c>
      <c r="Q10" s="7">
        <v>0.1011</v>
      </c>
      <c r="R10" s="7">
        <v>0.1012</v>
      </c>
      <c r="S10" s="7">
        <v>0.10390000000000001</v>
      </c>
      <c r="T10" s="7">
        <v>0.1013</v>
      </c>
      <c r="U10" s="7">
        <v>0.1012</v>
      </c>
      <c r="V10" s="7">
        <v>0.1012</v>
      </c>
      <c r="W10" s="7">
        <v>0.1012</v>
      </c>
      <c r="X10" s="7">
        <v>0.1051</v>
      </c>
    </row>
    <row r="11" spans="1:24" x14ac:dyDescent="0.25">
      <c r="B11" s="2" t="s">
        <v>21</v>
      </c>
      <c r="C11" s="8">
        <v>3.5000000000000001E-3</v>
      </c>
      <c r="D11" s="7">
        <v>3.0000000000000001E-3</v>
      </c>
      <c r="E11" s="7">
        <v>2.7000000000000001E-3</v>
      </c>
      <c r="F11" s="7">
        <v>2.5999999999999999E-3</v>
      </c>
      <c r="G11" s="7">
        <v>2.5999999999999999E-3</v>
      </c>
      <c r="H11" s="7">
        <v>2.5999999999999999E-3</v>
      </c>
      <c r="I11" s="7">
        <v>2.7000000000000001E-3</v>
      </c>
      <c r="J11" s="7">
        <v>2.5999999999999999E-3</v>
      </c>
      <c r="K11" s="7">
        <v>2.5999999999999999E-3</v>
      </c>
      <c r="L11" s="7">
        <v>2.5999999999999999E-3</v>
      </c>
      <c r="N11" s="2" t="s">
        <v>21</v>
      </c>
      <c r="O11" s="8">
        <v>1.5599999999999999E-2</v>
      </c>
      <c r="P11" s="7">
        <v>1.46E-2</v>
      </c>
      <c r="Q11" s="7">
        <v>1.49E-2</v>
      </c>
      <c r="R11" s="7">
        <v>1.3899999999999999E-2</v>
      </c>
      <c r="S11" s="7">
        <v>1.3299999999999999E-2</v>
      </c>
      <c r="T11" s="7">
        <v>1.29E-2</v>
      </c>
      <c r="U11" s="7">
        <v>1.32E-2</v>
      </c>
      <c r="V11" s="7">
        <v>1.29E-2</v>
      </c>
      <c r="W11" s="7">
        <v>1.29E-2</v>
      </c>
      <c r="X11" s="7">
        <v>1.3100000000000001E-2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1" t="s">
        <v>1</v>
      </c>
      <c r="C14" s="13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3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0.68989999999999996</v>
      </c>
      <c r="D16" s="7">
        <v>0.68389999999999995</v>
      </c>
      <c r="E16" s="7">
        <v>0.66700000000000004</v>
      </c>
      <c r="F16" s="7">
        <v>0.6845</v>
      </c>
      <c r="G16" s="7">
        <v>0.68820000000000003</v>
      </c>
      <c r="H16" s="7">
        <v>0.68110000000000004</v>
      </c>
      <c r="I16" s="7">
        <v>0.69020000000000004</v>
      </c>
      <c r="J16" s="7">
        <v>0.68640000000000001</v>
      </c>
      <c r="K16" s="7">
        <v>0.68100000000000005</v>
      </c>
      <c r="L16" s="7">
        <v>0.68920000000000003</v>
      </c>
      <c r="N16" s="2" t="s">
        <v>16</v>
      </c>
      <c r="O16" s="7">
        <v>16.920300000000001</v>
      </c>
      <c r="P16" s="7">
        <v>17.025300000000001</v>
      </c>
      <c r="Q16" s="7">
        <v>16.694500000000001</v>
      </c>
      <c r="R16" s="7">
        <v>17.04</v>
      </c>
      <c r="S16" s="7">
        <v>16.639399999999998</v>
      </c>
      <c r="T16" s="7">
        <v>16.909400000000002</v>
      </c>
      <c r="U16" s="7">
        <v>16.9025</v>
      </c>
      <c r="V16" s="7">
        <v>17.027799999999999</v>
      </c>
      <c r="W16" s="7">
        <v>16.7257</v>
      </c>
      <c r="X16" s="7">
        <v>17.191099999999999</v>
      </c>
    </row>
    <row r="17" spans="2:24" x14ac:dyDescent="0.25">
      <c r="B17" s="2" t="s">
        <v>17</v>
      </c>
      <c r="C17" s="7">
        <v>0.51280000000000003</v>
      </c>
      <c r="D17" s="7">
        <v>0.44080000000000003</v>
      </c>
      <c r="E17" s="7">
        <v>0.45329999999999998</v>
      </c>
      <c r="F17" s="7">
        <v>0.50149999999999995</v>
      </c>
      <c r="G17" s="7">
        <v>0.50480000000000003</v>
      </c>
      <c r="H17" s="7">
        <v>0.44629999999999997</v>
      </c>
      <c r="I17" s="7">
        <v>0.51200000000000001</v>
      </c>
      <c r="J17" s="7">
        <v>0.44579999999999997</v>
      </c>
      <c r="K17" s="7">
        <v>0.44740000000000002</v>
      </c>
      <c r="L17" s="7">
        <v>0.68979999999999997</v>
      </c>
      <c r="N17" s="2" t="s">
        <v>17</v>
      </c>
      <c r="O17" s="7">
        <v>11.850199999999999</v>
      </c>
      <c r="P17" s="7">
        <v>12.0915</v>
      </c>
      <c r="Q17" s="7">
        <v>12.497400000000001</v>
      </c>
      <c r="R17" s="7">
        <v>12.0062</v>
      </c>
      <c r="S17" s="7">
        <v>11.7148</v>
      </c>
      <c r="T17" s="7">
        <v>11.9001</v>
      </c>
      <c r="U17" s="7">
        <v>11.708299999999999</v>
      </c>
      <c r="V17" s="7">
        <v>11.889099999999999</v>
      </c>
      <c r="W17" s="7">
        <v>11.9368</v>
      </c>
      <c r="X17" s="7">
        <v>12.292899999999999</v>
      </c>
    </row>
    <row r="18" spans="2:24" x14ac:dyDescent="0.25">
      <c r="B18" s="2" t="s">
        <v>18</v>
      </c>
      <c r="C18" s="7">
        <v>1.2501</v>
      </c>
      <c r="D18" s="7">
        <v>1.0087999999999999</v>
      </c>
      <c r="E18" s="7">
        <v>0.9899</v>
      </c>
      <c r="F18" s="7">
        <v>0.98770000000000002</v>
      </c>
      <c r="G18" s="7">
        <v>0.98450000000000004</v>
      </c>
      <c r="H18" s="7">
        <v>1.0074000000000001</v>
      </c>
      <c r="I18" s="7">
        <v>1.0205</v>
      </c>
      <c r="J18" s="7">
        <v>0.99329999999999996</v>
      </c>
      <c r="K18" s="7">
        <v>0.998</v>
      </c>
      <c r="L18" s="7">
        <v>0.99639999999999995</v>
      </c>
      <c r="N18" s="2" t="s">
        <v>18</v>
      </c>
      <c r="O18" s="7">
        <v>25.4651</v>
      </c>
      <c r="P18" s="7">
        <v>25.5458</v>
      </c>
      <c r="Q18" s="7">
        <v>25.408899999999999</v>
      </c>
      <c r="R18" s="7">
        <v>25.216699999999999</v>
      </c>
      <c r="S18" s="7">
        <v>25.8779</v>
      </c>
      <c r="T18" s="7">
        <v>25.418399999999998</v>
      </c>
      <c r="U18" s="7">
        <v>25.435600000000001</v>
      </c>
      <c r="V18" s="7">
        <v>25.497800000000002</v>
      </c>
      <c r="W18" s="7">
        <v>25.334399999999999</v>
      </c>
      <c r="X18" s="7">
        <v>25.971399999999999</v>
      </c>
    </row>
    <row r="19" spans="2:24" x14ac:dyDescent="0.25">
      <c r="B19" s="2" t="s">
        <v>19</v>
      </c>
      <c r="C19" s="7">
        <v>3.5999999999999997E-2</v>
      </c>
      <c r="D19" s="7">
        <v>3.5099999999999999E-2</v>
      </c>
      <c r="E19" s="7">
        <v>3.5200000000000002E-2</v>
      </c>
      <c r="F19" s="7">
        <v>3.5000000000000003E-2</v>
      </c>
      <c r="G19" s="7">
        <v>3.5200000000000002E-2</v>
      </c>
      <c r="H19" s="7">
        <v>3.5000000000000003E-2</v>
      </c>
      <c r="I19" s="7">
        <v>3.5099999999999999E-2</v>
      </c>
      <c r="J19" s="7">
        <v>3.5200000000000002E-2</v>
      </c>
      <c r="K19" s="7">
        <v>3.5099999999999999E-2</v>
      </c>
      <c r="L19" s="7">
        <v>3.5099999999999999E-2</v>
      </c>
      <c r="N19" s="2" t="s">
        <v>19</v>
      </c>
      <c r="O19" s="7">
        <v>0.214</v>
      </c>
      <c r="P19" s="7">
        <v>0.2112</v>
      </c>
      <c r="Q19" s="7">
        <v>0.21329999999999999</v>
      </c>
      <c r="R19" s="7">
        <v>0.21160000000000001</v>
      </c>
      <c r="S19" s="7">
        <v>0.21540000000000001</v>
      </c>
      <c r="T19" s="7">
        <v>0.21029999999999999</v>
      </c>
      <c r="U19" s="7">
        <v>0.2102</v>
      </c>
      <c r="V19" s="7">
        <v>0.22789999999999999</v>
      </c>
      <c r="W19" s="7">
        <v>0.2102</v>
      </c>
      <c r="X19" s="7">
        <v>0.21029999999999999</v>
      </c>
    </row>
    <row r="20" spans="2:24" x14ac:dyDescent="0.25">
      <c r="B20" s="2" t="s">
        <v>20</v>
      </c>
      <c r="C20" s="7">
        <v>0.38969999999999999</v>
      </c>
      <c r="D20" s="7">
        <v>0.38840000000000002</v>
      </c>
      <c r="E20" s="7">
        <v>0.38450000000000001</v>
      </c>
      <c r="F20" s="7">
        <v>0.3876</v>
      </c>
      <c r="G20" s="7">
        <v>0.38369999999999999</v>
      </c>
      <c r="H20" s="7">
        <v>0.38540000000000002</v>
      </c>
      <c r="I20" s="7">
        <v>0.38390000000000002</v>
      </c>
      <c r="J20" s="7">
        <v>0.38400000000000001</v>
      </c>
      <c r="K20" s="7">
        <v>0.38379999999999997</v>
      </c>
      <c r="L20" s="7">
        <v>0.38879999999999998</v>
      </c>
      <c r="N20" s="2" t="s">
        <v>20</v>
      </c>
      <c r="O20" s="7">
        <v>9.5238999999999994</v>
      </c>
      <c r="P20" s="7">
        <v>9.5929000000000002</v>
      </c>
      <c r="Q20" s="7">
        <v>9.6265000000000001</v>
      </c>
      <c r="R20" s="7">
        <v>9.5663</v>
      </c>
      <c r="S20" s="7">
        <v>9.6060999999999996</v>
      </c>
      <c r="T20" s="7">
        <v>9.9222000000000001</v>
      </c>
      <c r="U20" s="7">
        <v>9.5063999999999993</v>
      </c>
      <c r="V20" s="7">
        <v>9.7729999999999997</v>
      </c>
      <c r="W20" s="7">
        <v>9.3637999999999995</v>
      </c>
      <c r="X20" s="7">
        <v>9.4422999999999995</v>
      </c>
    </row>
    <row r="21" spans="2:24" x14ac:dyDescent="0.25">
      <c r="B21" s="2" t="s">
        <v>21</v>
      </c>
      <c r="C21" s="8">
        <v>3.2399999999999998E-2</v>
      </c>
      <c r="D21" s="7">
        <v>2.8899999999999999E-2</v>
      </c>
      <c r="E21" s="7">
        <v>2.7400000000000001E-2</v>
      </c>
      <c r="F21" s="7">
        <v>3.1800000000000002E-2</v>
      </c>
      <c r="G21" s="7">
        <v>2.9600000000000001E-2</v>
      </c>
      <c r="H21" s="7">
        <v>2.8000000000000001E-2</v>
      </c>
      <c r="I21" s="7">
        <v>2.7799999999999998E-2</v>
      </c>
      <c r="J21" s="7">
        <v>2.76E-2</v>
      </c>
      <c r="K21" s="7">
        <v>2.8000000000000001E-2</v>
      </c>
      <c r="L21" s="7">
        <v>2.8000000000000001E-2</v>
      </c>
      <c r="N21" s="2" t="s">
        <v>21</v>
      </c>
      <c r="O21" s="8">
        <v>2.1086999999999998</v>
      </c>
      <c r="P21" s="7">
        <v>2.2776000000000001</v>
      </c>
      <c r="Q21" s="7">
        <v>2.1141999999999999</v>
      </c>
      <c r="R21" s="7">
        <v>2.1067</v>
      </c>
      <c r="S21" s="7">
        <v>2.0512999999999999</v>
      </c>
      <c r="T21" s="7">
        <v>2.0969000000000002</v>
      </c>
      <c r="U21" s="7">
        <v>2.1240000000000001</v>
      </c>
      <c r="V21" s="7">
        <v>2.1334</v>
      </c>
      <c r="W21" s="7">
        <v>2.1204999999999998</v>
      </c>
      <c r="X21" s="7">
        <v>2.1145999999999998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1" t="s">
        <v>1</v>
      </c>
      <c r="C24" s="13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3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67.531700000000001</v>
      </c>
      <c r="D26" s="7">
        <v>68.365600000000001</v>
      </c>
      <c r="E26" s="7">
        <v>68.717500000000001</v>
      </c>
      <c r="F26" s="7">
        <v>68.486199999999997</v>
      </c>
      <c r="G26" s="7">
        <v>67.471100000000007</v>
      </c>
      <c r="H26" s="7">
        <v>67.694800000000001</v>
      </c>
      <c r="I26" s="7">
        <v>68.088999999999999</v>
      </c>
      <c r="J26" s="7">
        <v>67.8489</v>
      </c>
      <c r="K26" s="7">
        <v>67.704300000000003</v>
      </c>
      <c r="L26" s="7">
        <v>67.257900000000006</v>
      </c>
      <c r="N26" s="2" t="s">
        <v>16</v>
      </c>
      <c r="O26" s="7">
        <v>1704.355</v>
      </c>
      <c r="P26" s="7">
        <v>1706.5268000000001</v>
      </c>
      <c r="Q26" s="7">
        <v>1697.0744</v>
      </c>
      <c r="R26" s="7">
        <v>1696.6005</v>
      </c>
      <c r="S26" s="7">
        <v>1698.7782999999999</v>
      </c>
      <c r="T26" s="7">
        <v>1697.3117999999999</v>
      </c>
      <c r="U26" s="7">
        <v>1705.2108000000001</v>
      </c>
      <c r="V26" s="7">
        <v>1694.2313999999999</v>
      </c>
      <c r="W26" s="7">
        <v>1702.827</v>
      </c>
      <c r="X26" s="7">
        <v>1692.5108</v>
      </c>
    </row>
    <row r="27" spans="2:24" x14ac:dyDescent="0.25">
      <c r="B27" s="2" t="s">
        <v>17</v>
      </c>
      <c r="C27" s="7">
        <v>46.318600000000004</v>
      </c>
      <c r="D27" s="7">
        <v>49.363599999999998</v>
      </c>
      <c r="E27" s="7">
        <v>49.122199999999999</v>
      </c>
      <c r="F27" s="7">
        <v>48.263599999999997</v>
      </c>
      <c r="G27" s="7">
        <v>46.6447</v>
      </c>
      <c r="H27" s="7">
        <v>47.982199999999999</v>
      </c>
      <c r="I27" s="7">
        <v>49.3</v>
      </c>
      <c r="J27" s="7">
        <v>48.601500000000001</v>
      </c>
      <c r="K27" s="7">
        <v>48.712000000000003</v>
      </c>
      <c r="L27" s="7">
        <v>48.437600000000003</v>
      </c>
      <c r="N27" s="2" t="s">
        <v>17</v>
      </c>
      <c r="O27" s="7">
        <v>1212.8842</v>
      </c>
      <c r="P27" s="7">
        <v>1220.2150999999999</v>
      </c>
      <c r="Q27" s="7">
        <v>1207.1577</v>
      </c>
      <c r="R27" s="7">
        <v>1206.5849000000001</v>
      </c>
      <c r="S27" s="7">
        <v>1205.1511</v>
      </c>
      <c r="T27" s="7">
        <v>1210.357</v>
      </c>
      <c r="U27" s="7">
        <v>1216.5509</v>
      </c>
      <c r="V27" s="7">
        <v>1214.7883999999999</v>
      </c>
      <c r="W27" s="7">
        <v>1211.2609</v>
      </c>
      <c r="X27" s="7">
        <v>1211.2910999999999</v>
      </c>
    </row>
    <row r="28" spans="2:24" x14ac:dyDescent="0.25">
      <c r="B28" s="2" t="s">
        <v>18</v>
      </c>
      <c r="C28" s="7">
        <v>101.9512</v>
      </c>
      <c r="D28" s="7">
        <v>101.96720000000001</v>
      </c>
      <c r="E28" s="7">
        <v>102.4148</v>
      </c>
      <c r="F28" s="7">
        <v>102.0264</v>
      </c>
      <c r="G28" s="7">
        <v>101.7398</v>
      </c>
      <c r="H28" s="7">
        <v>102.89409999999999</v>
      </c>
      <c r="I28" s="7">
        <v>101.6403</v>
      </c>
      <c r="J28" s="7">
        <v>101.6966</v>
      </c>
      <c r="K28" s="7">
        <v>102.2206</v>
      </c>
      <c r="L28" s="7">
        <v>101.6915</v>
      </c>
      <c r="N28" s="2" t="s">
        <v>18</v>
      </c>
      <c r="O28" s="7">
        <v>2568.9774000000002</v>
      </c>
      <c r="P28" s="7">
        <v>2557.8825000000002</v>
      </c>
      <c r="Q28" s="7">
        <v>2558.6363999999999</v>
      </c>
      <c r="R28" s="7">
        <v>2552.7147</v>
      </c>
      <c r="S28" s="7">
        <v>2563.7993999999999</v>
      </c>
      <c r="T28" s="7">
        <v>2558.0715</v>
      </c>
      <c r="U28" s="7">
        <v>2558.2168000000001</v>
      </c>
      <c r="V28" s="7">
        <v>2562.7926000000002</v>
      </c>
      <c r="W28" s="7">
        <v>2557.5095000000001</v>
      </c>
      <c r="X28" s="7">
        <v>2554.0119</v>
      </c>
    </row>
    <row r="29" spans="2:24" x14ac:dyDescent="0.25">
      <c r="B29" s="2" t="s">
        <v>19</v>
      </c>
      <c r="C29" s="7">
        <v>0.4456</v>
      </c>
      <c r="D29" s="7">
        <v>0.44919999999999999</v>
      </c>
      <c r="E29" s="7">
        <v>0.43980000000000002</v>
      </c>
      <c r="F29" s="7">
        <v>0.47370000000000001</v>
      </c>
      <c r="G29" s="7">
        <v>0.43969999999999998</v>
      </c>
      <c r="H29" s="7">
        <v>0.44790000000000002</v>
      </c>
      <c r="I29" s="7">
        <v>0.44019999999999998</v>
      </c>
      <c r="J29" s="7">
        <v>0.44450000000000001</v>
      </c>
      <c r="K29" s="7">
        <v>0.43969999999999998</v>
      </c>
      <c r="L29" s="7">
        <v>0.443</v>
      </c>
      <c r="N29" s="2" t="s">
        <v>19</v>
      </c>
      <c r="O29" s="7">
        <v>2.6747999999999998</v>
      </c>
      <c r="P29" s="7">
        <v>2.5108999999999999</v>
      </c>
      <c r="Q29" s="7">
        <v>2.4885000000000002</v>
      </c>
      <c r="R29" s="7">
        <v>2.4946000000000002</v>
      </c>
      <c r="S29" s="7">
        <v>2.4944000000000002</v>
      </c>
      <c r="T29" s="7">
        <v>2.5190000000000001</v>
      </c>
      <c r="U29" s="7">
        <v>2.5017</v>
      </c>
      <c r="V29" s="7">
        <v>2.5183</v>
      </c>
      <c r="W29" s="7">
        <v>2.5156999999999998</v>
      </c>
      <c r="X29" s="7">
        <v>2.5139</v>
      </c>
    </row>
    <row r="30" spans="2:24" x14ac:dyDescent="0.25">
      <c r="B30" s="2" t="s">
        <v>20</v>
      </c>
      <c r="C30" s="7">
        <v>37.799500000000002</v>
      </c>
      <c r="D30" s="7">
        <v>38.145299999999999</v>
      </c>
      <c r="E30" s="7">
        <v>37.7181</v>
      </c>
      <c r="F30" s="7">
        <v>38.5563</v>
      </c>
      <c r="G30" s="7">
        <v>37.9253</v>
      </c>
      <c r="H30" s="7">
        <v>37.891500000000001</v>
      </c>
      <c r="I30" s="7">
        <v>38.280500000000004</v>
      </c>
      <c r="J30" s="7">
        <v>37.790300000000002</v>
      </c>
      <c r="K30" s="7">
        <v>37.927599999999998</v>
      </c>
      <c r="L30" s="7">
        <v>38.103999999999999</v>
      </c>
      <c r="N30" s="2" t="s">
        <v>20</v>
      </c>
      <c r="O30" s="7">
        <v>943.43960000000004</v>
      </c>
      <c r="P30" s="7">
        <v>939.11509999999998</v>
      </c>
      <c r="Q30" s="7">
        <v>942.70849999999996</v>
      </c>
      <c r="R30" s="7">
        <v>938.6848</v>
      </c>
      <c r="S30" s="7">
        <v>939.2251</v>
      </c>
      <c r="T30" s="7">
        <v>940.30679999999995</v>
      </c>
      <c r="U30" s="7">
        <v>941.39530000000002</v>
      </c>
      <c r="V30" s="7">
        <v>943.50930000000005</v>
      </c>
      <c r="W30" s="7">
        <v>947.02620000000002</v>
      </c>
      <c r="X30" s="7">
        <v>940.02210000000002</v>
      </c>
    </row>
    <row r="31" spans="2:24" x14ac:dyDescent="0.25">
      <c r="B31" s="2" t="s">
        <v>21</v>
      </c>
      <c r="C31" s="8">
        <v>18.523099999999999</v>
      </c>
      <c r="D31" s="7">
        <v>18.729099999999999</v>
      </c>
      <c r="E31" s="7">
        <v>19.262899999999998</v>
      </c>
      <c r="F31" s="7">
        <v>19.386299999999999</v>
      </c>
      <c r="G31" s="7">
        <v>19.2669</v>
      </c>
      <c r="H31" s="7">
        <v>18.703700000000001</v>
      </c>
      <c r="I31" s="7">
        <v>18.654499999999999</v>
      </c>
      <c r="J31" s="7">
        <v>18.894100000000002</v>
      </c>
      <c r="K31" s="7">
        <v>19.3001</v>
      </c>
      <c r="L31" s="7">
        <v>19.180599999999998</v>
      </c>
      <c r="N31" s="2" t="s">
        <v>21</v>
      </c>
      <c r="O31" s="8">
        <v>714.22910000000002</v>
      </c>
      <c r="P31" s="7">
        <v>714.57740000000001</v>
      </c>
      <c r="Q31" s="7">
        <v>670.0172</v>
      </c>
      <c r="R31" s="7">
        <v>722.71590000000003</v>
      </c>
      <c r="S31" s="7">
        <v>715.40890000000002</v>
      </c>
      <c r="T31" s="7">
        <v>662.06359999999995</v>
      </c>
      <c r="U31" s="7">
        <v>697.14430000000004</v>
      </c>
      <c r="V31" s="7">
        <v>714.52409999999998</v>
      </c>
      <c r="W31" s="7">
        <v>713.06240000000003</v>
      </c>
      <c r="X31" s="7">
        <v>715.01620000000003</v>
      </c>
    </row>
    <row r="34" spans="2:17" x14ac:dyDescent="0.25">
      <c r="B34" s="11" t="s">
        <v>1</v>
      </c>
      <c r="C34" s="18" t="s">
        <v>22</v>
      </c>
      <c r="D34" s="14"/>
      <c r="E34" s="14"/>
      <c r="F34" s="14"/>
      <c r="G34" s="14"/>
      <c r="H34" s="15"/>
      <c r="K34" s="1" t="s">
        <v>25</v>
      </c>
      <c r="L34" s="1">
        <f>[1]Sorted!C35</f>
        <v>100</v>
      </c>
      <c r="M34" s="1">
        <f>[1]Sorted!D35</f>
        <v>500</v>
      </c>
      <c r="N34" s="1">
        <f>[1]Sorted!E35</f>
        <v>1000</v>
      </c>
      <c r="O34" s="1">
        <f>[1]Sorted!F35</f>
        <v>5000</v>
      </c>
      <c r="P34" s="1">
        <f>[1]Sorted!G35</f>
        <v>10000</v>
      </c>
      <c r="Q34" s="1">
        <f>[1]Sorted!H35</f>
        <v>50000</v>
      </c>
    </row>
    <row r="35" spans="2:17" x14ac:dyDescent="0.25">
      <c r="B35" s="12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f>[1]Sorted!C35^2</f>
        <v>10000</v>
      </c>
      <c r="M35" s="1">
        <f>[1]Sorted!D35^2</f>
        <v>250000</v>
      </c>
      <c r="N35" s="1">
        <f>[1]Sorted!E35^2</f>
        <v>1000000</v>
      </c>
      <c r="O35" s="1">
        <f>[1]Sorted!F35^2</f>
        <v>25000000</v>
      </c>
      <c r="P35" s="1">
        <f>[1]Sorted!G35^2</f>
        <v>100000000</v>
      </c>
      <c r="Q35" s="1">
        <f>[1]Sorted!H35^2</f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6.9874999999999989E-3</v>
      </c>
      <c r="D36" s="7">
        <f t="shared" ref="D36:D41" si="1">IF(COUNTBLANK(O6:X6)&gt;0,"undone",TRIMMEAN(O6:X6,2/COUNT(O6:X6)))</f>
        <v>0.17252500000000001</v>
      </c>
      <c r="E36" s="7">
        <f t="shared" ref="E36:E41" si="2">IF(COUNTBLANK(C16:L16)&gt;0,"undone",TRIMMEAN(C16:L16,2/COUNT(C16:L16)))</f>
        <v>0.68552499999999994</v>
      </c>
      <c r="F36" s="7">
        <f t="shared" ref="F36:F41" si="3">IF(COUNTBLANK(O16:X16)&gt;0,"undone",TRIMMEAN(O16:X16,2/COUNT(O16:X16)))</f>
        <v>16.905687500000003</v>
      </c>
      <c r="G36" s="7">
        <f t="shared" ref="G36:G41" si="4">IF(COUNTBLANK(C26:L26)&gt;0,"undone",TRIMMEAN(C26:L26,2/COUNT(C26:L26)))</f>
        <v>67.898949999999999</v>
      </c>
      <c r="H36" s="7">
        <f t="shared" ref="H36:H41" si="5">IF(COUNTBLANK(O26:X26)&gt;0,"undone",TRIMMEAN(O26:X26,2/COUNT(O26:X26)))</f>
        <v>1699.54865</v>
      </c>
      <c r="K36" s="1" t="s">
        <v>26</v>
      </c>
      <c r="L36" s="1">
        <f>[1]Sorted!C35*LOG([1]Sorted!C35)</f>
        <v>200</v>
      </c>
      <c r="M36" s="1">
        <f>[1]Sorted!D35*LOG([1]Sorted!D35)</f>
        <v>1349.4850021680095</v>
      </c>
      <c r="N36" s="1">
        <f>[1]Sorted!E35*LOG([1]Sorted!E35)</f>
        <v>3000</v>
      </c>
      <c r="O36" s="1">
        <f>[1]Sorted!F35*LOG([1]Sorted!F35)</f>
        <v>18494.850021680093</v>
      </c>
      <c r="P36" s="1">
        <f>[1]Sorted!G35*LOG([1]Sorted!G35)</f>
        <v>40000</v>
      </c>
      <c r="Q36" s="1">
        <f>[1]Sorted!H35*LOG([1]Sorted!H35)</f>
        <v>234948.50021680092</v>
      </c>
    </row>
    <row r="37" spans="2:17" x14ac:dyDescent="0.25">
      <c r="B37" s="2" t="s">
        <v>17</v>
      </c>
      <c r="C37" s="7">
        <f t="shared" si="0"/>
        <v>5.1624999999999996E-3</v>
      </c>
      <c r="D37" s="7">
        <f t="shared" si="1"/>
        <v>0.12428749999999998</v>
      </c>
      <c r="E37" s="7">
        <f t="shared" si="2"/>
        <v>0.47798750000000001</v>
      </c>
      <c r="F37" s="7">
        <f t="shared" si="3"/>
        <v>11.9602</v>
      </c>
      <c r="G37" s="7">
        <f t="shared" si="4"/>
        <v>48.382975000000002</v>
      </c>
      <c r="H37" s="7">
        <f t="shared" si="5"/>
        <v>1211.3593874999999</v>
      </c>
    </row>
    <row r="38" spans="2:17" x14ac:dyDescent="0.25">
      <c r="B38" s="2" t="s">
        <v>18</v>
      </c>
      <c r="C38" s="7">
        <f t="shared" si="0"/>
        <v>1.0874999999999999E-2</v>
      </c>
      <c r="D38" s="7">
        <f t="shared" si="1"/>
        <v>0.25931249999999995</v>
      </c>
      <c r="E38" s="7">
        <f t="shared" si="2"/>
        <v>1.0002499999999999</v>
      </c>
      <c r="F38" s="7">
        <f t="shared" si="3"/>
        <v>25.497987499999997</v>
      </c>
      <c r="G38" s="7">
        <f t="shared" si="4"/>
        <v>101.96351250000001</v>
      </c>
      <c r="H38" s="7">
        <f t="shared" si="5"/>
        <v>2558.8650750000002</v>
      </c>
    </row>
    <row r="39" spans="2:17" x14ac:dyDescent="0.25">
      <c r="B39" s="2" t="s">
        <v>19</v>
      </c>
      <c r="C39" s="7">
        <f t="shared" si="0"/>
        <v>2.7250000000000004E-3</v>
      </c>
      <c r="D39" s="7">
        <f t="shared" si="1"/>
        <v>1.685E-2</v>
      </c>
      <c r="E39" s="7">
        <f t="shared" si="2"/>
        <v>3.5125000000000003E-2</v>
      </c>
      <c r="F39" s="7">
        <f t="shared" si="3"/>
        <v>0.21203749999999999</v>
      </c>
      <c r="G39" s="7">
        <f t="shared" si="4"/>
        <v>0.44373750000000001</v>
      </c>
      <c r="H39" s="7">
        <f t="shared" si="5"/>
        <v>2.5085625</v>
      </c>
    </row>
    <row r="40" spans="2:17" x14ac:dyDescent="0.25">
      <c r="B40" s="2" t="s">
        <v>20</v>
      </c>
      <c r="C40" s="7">
        <f t="shared" si="0"/>
        <v>4.0750000000000005E-3</v>
      </c>
      <c r="D40" s="7">
        <f t="shared" si="1"/>
        <v>0.10169999999999998</v>
      </c>
      <c r="E40" s="7">
        <f t="shared" si="2"/>
        <v>0.38579999999999998</v>
      </c>
      <c r="F40" s="7">
        <f t="shared" si="3"/>
        <v>9.5796749999999999</v>
      </c>
      <c r="G40" s="7">
        <f t="shared" si="4"/>
        <v>37.982999999999997</v>
      </c>
      <c r="H40" s="7">
        <f t="shared" si="5"/>
        <v>941.21522500000003</v>
      </c>
    </row>
    <row r="41" spans="2:17" x14ac:dyDescent="0.25">
      <c r="B41" s="2" t="s">
        <v>21</v>
      </c>
      <c r="C41" s="7">
        <f t="shared" si="0"/>
        <v>2.6749999999999994E-3</v>
      </c>
      <c r="D41" s="7">
        <f t="shared" si="1"/>
        <v>1.3599999999999999E-2</v>
      </c>
      <c r="E41" s="7">
        <f t="shared" si="2"/>
        <v>2.8712500000000002E-2</v>
      </c>
      <c r="F41" s="7">
        <f t="shared" si="3"/>
        <v>2.1148750000000001</v>
      </c>
      <c r="G41" s="7">
        <f t="shared" si="4"/>
        <v>18.998987500000002</v>
      </c>
      <c r="H41" s="7">
        <f t="shared" si="5"/>
        <v>706.74744999999996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B34:B35"/>
    <mergeCell ref="C34:H34"/>
    <mergeCell ref="B24:B25"/>
    <mergeCell ref="C24:L24"/>
    <mergeCell ref="N24:N25"/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แผนภูมิ</vt:lpstr>
      </vt:variant>
      <vt:variant>
        <vt:i4>3</vt:i4>
      </vt:variant>
    </vt:vector>
  </HeadingPairs>
  <TitlesOfParts>
    <vt:vector size="6" baseType="lpstr">
      <vt:lpstr>Random</vt:lpstr>
      <vt:lpstr>Sorted</vt:lpstr>
      <vt:lpstr>Rev-Sorted</vt:lpstr>
      <vt:lpstr>random_grpah</vt:lpstr>
      <vt:lpstr>sorted_grpah 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2026-09-07T07:50:54Z</dcterms:modified>
</cp:coreProperties>
</file>